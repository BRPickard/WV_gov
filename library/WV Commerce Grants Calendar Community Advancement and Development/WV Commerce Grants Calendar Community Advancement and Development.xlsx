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75" documentId="8_{3B71FDB1-3B87-47A1-BE1F-DC12528724B7}" xr6:coauthVersionLast="47" xr6:coauthVersionMax="47" xr10:uidLastSave="{53391894-DDE0-4159-A1ED-76242B037390}"/>
  <bookViews>
    <workbookView xWindow="-120" yWindow="-120" windowWidth="29040" windowHeight="15720" activeTab="2" xr2:uid="{72A79F31-71B2-41E6-92AE-E018B100B4CA}"/>
  </bookViews>
  <sheets>
    <sheet name="Instructions" sheetId="3" r:id="rId1"/>
    <sheet name="Program" sheetId="2" r:id="rId2"/>
    <sheet name="Dates" sheetId="1" r:id="rId3"/>
    <sheet name="Dropdowns" sheetId="4" state="hidden" r:id="rId4"/>
  </sheets>
  <definedNames>
    <definedName name="_xlnm._FilterDatabase" localSheetId="2" hidden="1">Dates!$A$1:$U$2</definedName>
    <definedName name="_xlnm._FilterDatabase" localSheetId="1" hidden="1">Program!$A$1:$I$18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tc={EC151280-4A10-45DF-84A8-A7F660DF5F20}</author>
    <author>tc={7A2DBCB7-74B9-4C7D-B980-196AA9EA3847}</author>
    <author>tc={A2CFB1C4-16E6-4194-A82D-52B27B2E538A}</author>
    <author>tc={88048AE4-4D9E-49F3-AF3B-898C8E600153}</author>
    <author>tc={C5DC4623-4235-4A74-BEA2-052501351F9D}</author>
    <author>tc={0037D3EE-C17D-40B7-B753-FBCF1068FB5E}</author>
    <author>tc={6367D1F8-1229-4DC1-8C67-7D5B05615DF2}</author>
    <author>tc={C019E215-40EE-4F8F-85D3-46EC18BFF697}</author>
    <author>tc={67C09406-4732-4107-8E2F-8517E811CD14}</author>
    <author>tc={2DC2187A-2A64-4673-9EAB-2E2A4244EB2A}</author>
    <author>tc={D628A0EE-C52B-40C7-9F3F-E35EDFB364BF}</author>
    <author>tc={3E2FC75C-D986-4546-B201-7C26EA855A9D}</author>
    <author>tc={258E61A9-609E-4BAA-93C4-716281171F02}</author>
    <author>tc={362EEBBB-B79F-4EE1-AF80-08DD3B2360B9}</author>
    <author>tc={B28AA5D9-DDA0-4BCE-978F-281E09CA397E}</author>
    <author>tc={F99E784E-8BEC-4DC5-96E6-074268DB02D7}</author>
    <author>tc={DE44E4C3-FD13-4DA6-BEED-E94D5A7E4441}</author>
    <author>tc={0731ACB6-B22F-4435-A94F-472844C7B749}</author>
    <author>tc={64546426-7AE9-4E2E-8EC7-41364FF5EDA2}</author>
    <author>tc={8EB622CB-B406-41B6-9EB5-B40524B2CBC0}</author>
    <author>tc={67EB8B4E-CE05-4549-81D5-D0A264EE9DD2}</author>
    <author>tc={AEC71D09-0122-4449-A16B-8B5B0D953BA9}</author>
    <author>tc={6DC4865D-9385-4926-9BB1-F0D6BD2E822B}</author>
    <author>tc={8260807C-8D60-4DDB-8950-2D62F6C4C750}</author>
    <author>tc={D4661523-24C1-495D-AD4C-2B8D18727E63}</author>
    <author>tc={A289ADE4-FB83-48EB-AD47-C99835AD1023}</author>
    <author>tc={47593B4C-12B6-4C7B-8547-651DD8305FE2}</author>
    <author>tc={B6571764-F59D-4D23-9841-08A837624015}</author>
    <author>tc={9CC7FFF7-25B8-4917-B4CE-9CDEBABDF4D8}</author>
    <author>tc={A16107DD-CC2F-4306-A605-9396F7FA9B2B}</author>
    <author>tc={0548119E-1D8B-4520-A648-D253F8ED346E}</author>
  </authors>
  <commentList>
    <comment ref="D2" authorId="0" shapeId="0" xr:uid="{EC151280-4A10-45DF-84A8-A7F660DF5F20}">
      <text>
        <t xml:space="preserve">[Threaded comment]
Your version of Excel allows you to read this threaded comment; however, any edits to it will get removed if the file is opened in a newer version of Excel. Learn more: https://go.microsoft.com/fwlink/?linkid=870924
Comment:
    CDBG does not require an Letter of Intent. </t>
      </text>
    </comment>
    <comment ref="D3" authorId="1" shapeId="0" xr:uid="{7A2DBCB7-74B9-4C7D-B980-196AA9EA3847}">
      <text>
        <t>[Threaded comment]
Your version of Excel allows you to read this threaded comment; however, any edits to it will get removed if the file is opened in a newer version of Excel. Learn more: https://go.microsoft.com/fwlink/?linkid=870924
Comment:
    ARC area development does not use an LOI</t>
      </text>
    </comment>
    <comment ref="E3" authorId="2" shapeId="0" xr:uid="{A2CFB1C4-16E6-4194-A82D-52B27B2E538A}">
      <text>
        <t>[Threaded comment]
Your version of Excel allows you to read this threaded comment; however, any edits to it will get removed if the file is opened in a newer version of Excel. Learn more: https://go.microsoft.com/fwlink/?linkid=870924
Comment:
    ARC area development does not use an LOI</t>
      </text>
    </comment>
    <comment ref="F3" authorId="3" shapeId="0" xr:uid="{88048AE4-4D9E-49F3-AF3B-898C8E600153}">
      <text>
        <t>[Threaded comment]
Your version of Excel allows you to read this threaded comment; however, any edits to it will get removed if the file is opened in a newer version of Excel. Learn more: https://go.microsoft.com/fwlink/?linkid=870924
Comment:
    ARC area development does not use an LOI</t>
      </text>
    </comment>
    <comment ref="G3" authorId="4" shapeId="0" xr:uid="{C5DC4623-4235-4A74-BEA2-052501351F9D}">
      <text>
        <t>[Threaded comment]
Your version of Excel allows you to read this threaded comment; however, any edits to it will get removed if the file is opened in a newer version of Excel. Learn more: https://go.microsoft.com/fwlink/?linkid=870924
Comment:
    ARC area development does not use an LOI</t>
      </text>
    </comment>
    <comment ref="R3" authorId="5" shapeId="0" xr:uid="{0037D3EE-C17D-40B7-B753-FBCF1068FB5E}">
      <text>
        <t>[Threaded comment]
Your version of Excel allows you to read this threaded comment; however, any edits to it will get removed if the file is opened in a newer version of Excel. Learn more: https://go.microsoft.com/fwlink/?linkid=870924
Comment:
    ARC determines award/implementation date on a project by project basis</t>
      </text>
    </comment>
    <comment ref="S3" authorId="6" shapeId="0" xr:uid="{6367D1F8-1229-4DC1-8C67-7D5B05615DF2}">
      <text>
        <t>[Threaded comment]
Your version of Excel allows you to read this threaded comment; however, any edits to it will get removed if the file is opened in a newer version of Excel. Learn more: https://go.microsoft.com/fwlink/?linkid=870924
Comment:
    ARC determines award/implementation date on a project by project basis</t>
      </text>
    </comment>
    <comment ref="T3" authorId="7" shapeId="0" xr:uid="{C019E215-40EE-4F8F-85D3-46EC18BFF697}">
      <text>
        <t>[Threaded comment]
Your version of Excel allows you to read this threaded comment; however, any edits to it will get removed if the file is opened in a newer version of Excel. Learn more: https://go.microsoft.com/fwlink/?linkid=870924
Comment:
    ARC determines award/implementation date on a project by project basis</t>
      </text>
    </comment>
    <comment ref="U3" authorId="8" shapeId="0" xr:uid="{67C09406-4732-4107-8E2F-8517E811CD14}">
      <text>
        <t>[Threaded comment]
Your version of Excel allows you to read this threaded comment; however, any edits to it will get removed if the file is opened in a newer version of Excel. Learn more: https://go.microsoft.com/fwlink/?linkid=870924
Comment:
    ARC determines award/implementation date on a project by project basis</t>
      </text>
    </comment>
    <comment ref="F4" authorId="9" shapeId="0" xr:uid="{2DC2187A-2A64-4673-9EAB-2E2A4244EB2A}">
      <text>
        <t>[Threaded comment]
Your version of Excel allows you to read this threaded comment; however, any edits to it will get removed if the file is opened in a newer version of Excel. Learn more: https://go.microsoft.com/fwlink/?linkid=870924
Comment:
    ARC reviews LOIs to make sure they meet basic eligibility requirements.  Eligible applicants are then invited to submit a full application.</t>
      </text>
    </comment>
    <comment ref="G4" authorId="10" shapeId="0" xr:uid="{D628A0EE-C52B-40C7-9F3F-E35EDFB364BF}">
      <text>
        <t>[Threaded comment]
Your version of Excel allows you to read this threaded comment; however, any edits to it will get removed if the file is opened in a newer version of Excel. Learn more: https://go.microsoft.com/fwlink/?linkid=870924
Comment:
    ARC reviews LOIs to make sure they meet basic eligibility requirements.  Eligible applicants are then given access to the application portal to submit their application.</t>
      </text>
    </comment>
    <comment ref="L4" authorId="11" shapeId="0" xr:uid="{3E2FC75C-D986-4546-B201-7C26EA855A9D}">
      <text>
        <t>[Threaded comment]
Your version of Excel allows you to read this threaded comment; however, any edits to it will get removed if the file is opened in a newer version of Excel. Learn more: https://go.microsoft.com/fwlink/?linkid=870924
Comment:
    Only those applicants who submitted an approved LOI can submit a full application</t>
      </text>
    </comment>
    <comment ref="R4" authorId="12" shapeId="0" xr:uid="{258E61A9-609E-4BAA-93C4-716281171F02}">
      <text>
        <t>[Threaded comment]
Your version of Excel allows you to read this threaded comment; however, any edits to it will get removed if the file is opened in a newer version of Excel. Learn more: https://go.microsoft.com/fwlink/?linkid=870924
Comment:
    ARC will determine award/implementation start and end dates</t>
      </text>
    </comment>
    <comment ref="S4" authorId="13" shapeId="0" xr:uid="{362EEBBB-B79F-4EE1-AF80-08DD3B2360B9}">
      <text>
        <t>[Threaded comment]
Your version of Excel allows you to read this threaded comment; however, any edits to it will get removed if the file is opened in a newer version of Excel. Learn more: https://go.microsoft.com/fwlink/?linkid=870924
Comment:
    ARC will determine award/implementation start and end dates</t>
      </text>
    </comment>
    <comment ref="T4" authorId="14" shapeId="0" xr:uid="{B28AA5D9-DDA0-4BCE-978F-281E09CA397E}">
      <text>
        <t>[Threaded comment]
Your version of Excel allows you to read this threaded comment; however, any edits to it will get removed if the file is opened in a newer version of Excel. Learn more: https://go.microsoft.com/fwlink/?linkid=870924
Comment:
    ARC will determine award/implementation start and end dates</t>
      </text>
    </comment>
    <comment ref="U4" authorId="15" shapeId="0" xr:uid="{F99E784E-8BEC-4DC5-96E6-074268DB02D7}">
      <text>
        <t>[Threaded comment]
Your version of Excel allows you to read this threaded comment; however, any edits to it will get removed if the file is opened in a newer version of Excel. Learn more: https://go.microsoft.com/fwlink/?linkid=870924
Comment:
    ARC will determine award/implementation start and end dates</t>
      </text>
    </comment>
    <comment ref="H5" authorId="16" shapeId="0" xr:uid="{DE44E4C3-FD13-4DA6-BEED-E94D5A7E4441}">
      <text>
        <t>[Threaded comment]
Your version of Excel allows you to read this threaded comment; however, any edits to it will get removed if the file is opened in a newer version of Excel. Learn more: https://go.microsoft.com/fwlink/?linkid=870924
Comment:
    ARC ARISE program uses a pre-application instead of an LOI.</t>
      </text>
    </comment>
    <comment ref="J5" authorId="17" shapeId="0" xr:uid="{0731ACB6-B22F-4435-A94F-472844C7B749}">
      <text>
        <t>[Threaded comment]
Your version of Excel allows you to read this threaded comment; however, any edits to it will get removed if the file is opened in a newer version of Excel. Learn more: https://go.microsoft.com/fwlink/?linkid=870924
Comment:
    Pre-applications are reviewed and scored by ARC, state program managers, and outside subject matter experts.</t>
      </text>
    </comment>
    <comment ref="L5" authorId="18" shapeId="0" xr:uid="{64546426-7AE9-4E2E-8EC7-41364FF5EDA2}">
      <text>
        <t>[Threaded comment]
Your version of Excel allows you to read this threaded comment; however, any edits to it will get removed if the file is opened in a newer version of Excel. Learn more: https://go.microsoft.com/fwlink/?linkid=870924
Comment:
    Upon review and scoring of the pre-application, ARC will invite successful applicants to submit a full application.</t>
      </text>
    </comment>
    <comment ref="R5" authorId="19" shapeId="0" xr:uid="{8EB622CB-B406-41B6-9EB5-B40524B2CBC0}">
      <text>
        <t>[Threaded comment]
Your version of Excel allows you to read this threaded comment; however, any edits to it will get removed if the file is opened in a newer version of Excel. Learn more: https://go.microsoft.com/fwlink/?linkid=870924
Comment:
    ARC will determine award/implementation start and end dates</t>
      </text>
    </comment>
    <comment ref="S5" authorId="20" shapeId="0" xr:uid="{67EB8B4E-CE05-4549-81D5-D0A264EE9DD2}">
      <text>
        <t>[Threaded comment]
Your version of Excel allows you to read this threaded comment; however, any edits to it will get removed if the file is opened in a newer version of Excel. Learn more: https://go.microsoft.com/fwlink/?linkid=870924
Comment:
    ARC will determine award/implementation start and end dates</t>
      </text>
    </comment>
    <comment ref="T5" authorId="21" shapeId="0" xr:uid="{AEC71D09-0122-4449-A16B-8B5B0D953BA9}">
      <text>
        <t>[Threaded comment]
Your version of Excel allows you to read this threaded comment; however, any edits to it will get removed if the file is opened in a newer version of Excel. Learn more: https://go.microsoft.com/fwlink/?linkid=870924
Comment:
    ARC will determine award/implementation start and end dates</t>
      </text>
    </comment>
    <comment ref="U5" authorId="22" shapeId="0" xr:uid="{6DC4865D-9385-4926-9BB1-F0D6BD2E822B}">
      <text>
        <t>[Threaded comment]
Your version of Excel allows you to read this threaded comment; however, any edits to it will get removed if the file is opened in a newer version of Excel. Learn more: https://go.microsoft.com/fwlink/?linkid=870924
Comment:
    ARC will determine award/implementation start and end dates</t>
      </text>
    </comment>
    <comment ref="F6" authorId="23" shapeId="0" xr:uid="{8260807C-8D60-4DDB-8950-2D62F6C4C750}">
      <text>
        <t>[Threaded comment]
Your version of Excel allows you to read this threaded comment; however, any edits to it will get removed if the file is opened in a newer version of Excel. Learn more: https://go.microsoft.com/fwlink/?linkid=870924
Comment:
    ARC reviews LOIs to make sure they meet basic eligibility requirements.  Eligible applicants are then invited to submit a full application.</t>
      </text>
    </comment>
    <comment ref="G6" authorId="24" shapeId="0" xr:uid="{D4661523-24C1-495D-AD4C-2B8D18727E63}">
      <text>
        <t>[Threaded comment]
Your version of Excel allows you to read this threaded comment; however, any edits to it will get removed if the file is opened in a newer version of Excel. Learn more: https://go.microsoft.com/fwlink/?linkid=870924
Comment:
    ARC reviews LOIs to make sure they meet basic eligibility requirements.  Eligible applicants are then invited to submit a full application.</t>
      </text>
    </comment>
    <comment ref="R6" authorId="25" shapeId="0" xr:uid="{A289ADE4-FB83-48EB-AD47-C99835AD1023}">
      <text>
        <t>[Threaded comment]
Your version of Excel allows you to read this threaded comment; however, any edits to it will get removed if the file is opened in a newer version of Excel. Learn more: https://go.microsoft.com/fwlink/?linkid=870924
Comment:
    ARC determines award and start dates on a project by project basis</t>
      </text>
    </comment>
    <comment ref="S6" authorId="26" shapeId="0" xr:uid="{47593B4C-12B6-4C7B-8547-651DD8305FE2}">
      <text>
        <t>[Threaded comment]
Your version of Excel allows you to read this threaded comment; however, any edits to it will get removed if the file is opened in a newer version of Excel. Learn more: https://go.microsoft.com/fwlink/?linkid=870924
Comment:
    ARC determines award and start dates on a project by project basis</t>
      </text>
    </comment>
    <comment ref="T6" authorId="27" shapeId="0" xr:uid="{B6571764-F59D-4D23-9841-08A837624015}">
      <text>
        <t>[Threaded comment]
Your version of Excel allows you to read this threaded comment; however, any edits to it will get removed if the file is opened in a newer version of Excel. Learn more: https://go.microsoft.com/fwlink/?linkid=870924
Comment:
    ARC determines award and start dates on a project by project basis</t>
      </text>
    </comment>
    <comment ref="U6" authorId="28" shapeId="0" xr:uid="{9CC7FFF7-25B8-4917-B4CE-9CDEBABDF4D8}">
      <text>
        <t>[Threaded comment]
Your version of Excel allows you to read this threaded comment; however, any edits to it will get removed if the file is opened in a newer version of Excel. Learn more: https://go.microsoft.com/fwlink/?linkid=870924
Comment:
    ARC determines award and start dates on a project by project basis</t>
      </text>
    </comment>
    <comment ref="D7" authorId="29" shapeId="0" xr:uid="{A16107DD-CC2F-4306-A605-9396F7FA9B2B}">
      <text>
        <t>[Threaded comment]
Your version of Excel allows you to read this threaded comment; however, any edits to it will get removed if the file is opened in a newer version of Excel. Learn more: https://go.microsoft.com/fwlink/?linkid=870924
Comment:
    LWCF does not use an LOI or any type of pre-application.</t>
      </text>
    </comment>
    <comment ref="R7" authorId="30" shapeId="0" xr:uid="{0548119E-1D8B-4520-A648-D253F8ED346E}">
      <text>
        <t xml:space="preserve">[Threaded comment]
Your version of Excel allows you to read this threaded comment; however, any edits to it will get removed if the file is opened in a newer version of Excel. Learn more: https://go.microsoft.com/fwlink/?linkid=870924
Comment:
    All LWCF grants must be reviewed and approved by NPS.  Award dates and implementation start and end dates are determined by NPS.  </t>
      </text>
    </comment>
  </commentList>
</comments>
</file>

<file path=xl/sharedStrings.xml><?xml version="1.0" encoding="utf-8"?>
<sst xmlns="http://schemas.openxmlformats.org/spreadsheetml/2006/main" count="242" uniqueCount="134">
  <si>
    <t>Instructions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</si>
  <si>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</si>
  <si>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</si>
  <si>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</si>
  <si>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</si>
  <si>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Administrator</t>
  </si>
  <si>
    <t>Description</t>
  </si>
  <si>
    <t>Eligible Uses</t>
  </si>
  <si>
    <t>Category (semi-colon separated)</t>
  </si>
  <si>
    <t>Grant Name 1</t>
  </si>
  <si>
    <t>Regional</t>
  </si>
  <si>
    <t>Enter description of program and priorities (2-5 sentences)</t>
  </si>
  <si>
    <t>Enter description of eligible uses of funding (1-3 sentences)</t>
  </si>
  <si>
    <t>Enter 1 of more standardized category value, separated by semicolons</t>
  </si>
  <si>
    <t>Enter 1 of more standardized recipient type value, separated by semicolons</t>
  </si>
  <si>
    <t>Fiscal Year</t>
  </si>
  <si>
    <t>LOI Collection Start</t>
  </si>
  <si>
    <t>LOI Collection End</t>
  </si>
  <si>
    <t>LOI Review Start</t>
  </si>
  <si>
    <t>LOI Review End</t>
  </si>
  <si>
    <t>Application Period Start</t>
  </si>
  <si>
    <t>Application Period End</t>
  </si>
  <si>
    <t>Awards Start</t>
  </si>
  <si>
    <t>Awards End</t>
  </si>
  <si>
    <t>Implementation Start</t>
  </si>
  <si>
    <t>Implementation End</t>
  </si>
  <si>
    <t>FY24</t>
  </si>
  <si>
    <t>FY25</t>
  </si>
  <si>
    <t>Federal</t>
  </si>
  <si>
    <t>State</t>
  </si>
  <si>
    <t>FY26</t>
  </si>
  <si>
    <t>FY27</t>
  </si>
  <si>
    <t>FY28</t>
  </si>
  <si>
    <t>FY29</t>
  </si>
  <si>
    <t>Community Development Block Grant (CDBG)</t>
  </si>
  <si>
    <t xml:space="preserve">The State Community Development Block Grant (CDBG) program is a funding initiative administered by the U.S. Department of Housing and Urban Development (HUD). Through this program, HUD allocates CDBG funds to states, which then distribute grants to non-entitlement communities—those local governments (such as incorporated cities, counties, and towns) that do not receive CDBG funding directly from HUD. The primary goal of the State CDBG program is to foster sustainable communities by promoting decent housing, creating a suitable living environment, and expanding economic opportunities, particularly for individuals and families with low- to moderate-incomes. All projects supported by CDBG funds must meet at least one of three national objectives: benefit low- to moderate-income persons, prevent or eliminate slums and blight, or address an urgent community need. </t>
  </si>
  <si>
    <t>Eligible projects include: infrastructure development (water, sewer, stromwater), improved public facility accesss (ADA accessibility), and spot demolition.   All infrastructure development and public facility improvement projects must meet "Benefit to Low and Moderate Income Persons National Objective", and at least 51% of the beneficiaries must be low- and moderate-income persons or households. All demolition projects must meet the Elimination of Slum and Blight National Objective, eliminate specific conditions of blight or physical decay on a spot basis, and not be located in a slum or blighted area. Community planning projects are also eligible, but must be associated with a CDBG-eligible infrastructure development project.</t>
  </si>
  <si>
    <t>Infrastructure Development (water); Infrastructure Development (sewer);Infrastructure Development(stormwater);Demolition;Public Facility Improvement (ADA Accessibility); Community Planning</t>
  </si>
  <si>
    <t>Non-entitlement County; Non-entitlement City/Town</t>
  </si>
  <si>
    <t>Appalachian Regional Commission (ARC) Area Development</t>
  </si>
  <si>
    <t>Within the scope of the ARC Strategic Plan, the Area Development program focuses investments in two general areas: critical infrastructure and business and workforce development. Critical infrastructure investments mainly include water and wastewater systems, site development, and other projects that provide the foundation for economic development. Business and workforce investments primarily focus on entrepreneurship, worker training and education, and other human capital development.</t>
  </si>
  <si>
    <t>Infrastructure Development (water); Infrastructure Development (sewer);Infrastructure Development(stormwater); Workforce Development; Site Development; Community Planning</t>
  </si>
  <si>
    <t xml:space="preserve">Construction, non-construction, and planning activities are eligible.  Projects require matching funds (the match rate is variable and depends upon which county the project is located in).  A priority is placed on projects in or benefiting ARC-designated distressed counties.  ARC funds must be for public benefit and cannot be used to improve private property.    </t>
  </si>
  <si>
    <t>Units of government; nonprofit organizations; colleges/universities; regional planning and development councils.  Individuals or for-profit entities are not eligible to apply.</t>
  </si>
  <si>
    <t>ARC POWER</t>
  </si>
  <si>
    <t>The Partnerships for Opportunity and Workforce and Economic Revitalization (POWER) Initiative provides grants to help communities and regions affected by job losses in coal mining, coal power plant operations, and coal-related supply chain or logistics industries.  ARC prioritizes POWER funding for projects that will produce diverse economic development outcomes, such as the following: 1) diversifying the commercial and industrial bases of local and regional economies; 2) Creating high-quality, well-paying jobs in new and existing industries; 3) Attracting new sources of public and private investment; 4) Providing a range of workforce services and skills training; 5) supporting the expansion of coal technology, including technologies that utilize coal and coal byproducts.</t>
  </si>
  <si>
    <t>Workforce development; business development; tourism development; broadband; access to capital; planning</t>
  </si>
  <si>
    <t>ARC ARISE</t>
  </si>
  <si>
    <t>ARISE provides support for multistate regional economic and community development projects throughout the Appalachian Regional Commission region through planning and implementation grants reviewed and awarded on a rolling basis. ARISE rests on the observation that significant economic opportunities often reach across state lines and that achieving the maximum economic impact from these can demand a multistate approach. Through carefully crafted planning grants and transformational implementation grants, ARISE will foster creative collaboration across state lines to produce a more robust and sustainable regional economy. ARISE aims to create economic mobility; address historic inequities for marginalized, underserved, and underrepresented communities; and produce high-quality employment for workers who reside in the Region, enabling them to remain and thrive in these communities.</t>
  </si>
  <si>
    <t xml:space="preserve">Construction, non-construction, and planning activities are eligible.   All grant applications must address the following essential elements of the program:  (1) Multistate Focus  (2) Targeted to Advancing Multistate Economies  (3) Assessment and Planning  (4) Demonstrable Collaboration Among All Partners  (5) Leverage Regional Resources  (6) Outcome Driven </t>
  </si>
  <si>
    <t>Workforce development; access to capital; tourism development; business/industrial development; multi-modal transportation development; planning</t>
  </si>
  <si>
    <t>ARC INSPIRE</t>
  </si>
  <si>
    <t>The Investments Supporting Partnerships In Recovery Ecosystems (INSPIRE) Initiative addresses the substance use disorder (SUD) crisis across Appalachia by creating or expanding a recovery ecosystem that will lead to workforce entry or re-entry. Successful projects will support the post-treatment to employment continuum, which could include investments in healthcare networks that support SUD recovery professionals, recovery-focused job training programs, as well as initiatives designed to coordinate, or link, recovery services and training that support the recovery to work ecosystem, among others.</t>
  </si>
  <si>
    <t xml:space="preserve">Workforce development targeted to individuals with substance use disorder </t>
  </si>
  <si>
    <t xml:space="preserve">Construction, non-construction and planning activities are eligible. Projects require matching funds (the match rate is variable and depends upon which county or counties the project benefits).  Applicants must demonstrate that their project is located within and targeted at communities that have been impacted by coal-mining or coal-power-plant employment loss, or employment loss in the supply-chain or logistics industries of either sector.  </t>
  </si>
  <si>
    <t xml:space="preserve">Non-construction and planning only.  Project activities must be limited to services aimed at assisting individuals in SUD recovery to obtain or maintain employment.  INSPIRE does not fund projects focused on treatment services.  Projects require matching funds (the match rate is variable and depends upon the county or counties where project services and benefits will take place).    </t>
  </si>
  <si>
    <t>Land and Water Conservation Fund (LWCF)</t>
  </si>
  <si>
    <t>The LWCF program is a construction or land acquisition grant program for state and local units of government for the development or maintenance of public outdoor recreational facilities such as public parks. The program is funded through the National Park Service (NPS), U.S. Department of the Interior.</t>
  </si>
  <si>
    <t xml:space="preserve">Construction only.  Land acquisitions are allowed only if they are combined with construction activities.  Funds cannot benefit private property.  LWCF funds require a 50/50 match.    </t>
  </si>
  <si>
    <t>Park/outdoor recreation improvement</t>
  </si>
  <si>
    <t>Emergency Solutions Grant (ESG)</t>
  </si>
  <si>
    <t>The Emergency Solutions Grants program (ESG) is a competitive grant that awards funds to private-nonprofit organizations in West Virginia for the purpose of providing services necessary to help individuals experiencing or at-risk of homelessness quickly regain stability in permanent housing. The ESG program is funded by the U.S. Department of Housing and Urban Development (HUD) in which the Department of Economic Development serves as a pass-through for that funding. Through four service Street Outreach, Emergency Shelter, Rapid Rehousing and Homeless Prevention. Sub-recipients of ESG funding can engage homeless individuals and families living on the street, improve the number and quality of emergency shelters for individuals and families experiencing homelessness, provide resources for operations of these shelters and essential services to shelter residents. ESG funding provide rental and financial assistance for rapidly re-housing homeless individuals and families and prevent families and individuals from becoming homeless. The Emergency Solutions Grant also provides funding for administrative costs and the Homelessness Management Information System (HMIS) used by agencies to store client personal and demographic information, case management and the vital services provided during their stay at each shelter.</t>
  </si>
  <si>
    <t xml:space="preserve">The Emergency Solutions Grant (ESG) program can be used for: Operating emergency and domestic shelters, Street Outreach, Rapid rehousing, Homeless prevention services,Hotel/ Motel vouchers, emergency housing assistance. </t>
  </si>
  <si>
    <t>Nonprofit organizations</t>
  </si>
  <si>
    <t>Community Development Block Grant - Disaster Recovery (CDBG-DR)</t>
  </si>
  <si>
    <t>In September 2017, the State received $104,280,000 from Community Development Block Grant – Disaster Recovery (CDBG-DR) for the 2016 floods. In February 2018, the State received an additional $45,595,000 for a total of $149,875,000.00. Funds are to be spent in the declared counties of Clay, Greenbrier, Fayette, Jackson, Kanawha, Lincoln, Monroe, Nicholas, Pocohontas, Roane, Summers &amp; Webster counties.</t>
  </si>
  <si>
    <t>CDBG-DR funds can be used for a wide-range of disaster recovery activities, primarily focused on housing, infrastructure, and economic revitalization. 80% of the total grant must benefit the Most Impacted &amp; Distressed (MID) areas determined by HUD. Programs must be from an unmet recovery need not already addressed by other Federal, State and/or Local, nonprofit funds, or private insurance.</t>
  </si>
  <si>
    <t>Homeowner Rehabilitation; New Construction; Clearance &amp; Demolition; Bridge Repair Program; Economic Development Program; Rental Assistance Program; Multifamily Rental Housing; Planning Grants</t>
  </si>
  <si>
    <t>Community Development Block Grant - Mitigation (CDBG-MIT)</t>
  </si>
  <si>
    <t>In August 2019, CDBG-MIT funds were allocated by HUD to grantees recovering from qualifying 2015, 2016, and 2017 disasters. West Virginia received $106,494,000. Funds are to be spent in the HUD declared MID counties of Clay, Greenbrier, Kanawha and Nicholas and the State MID counties of Fayette, Jackson, Lincoln, Monroe, Pocohontas, Roane, Summers &amp; Webster counties.</t>
  </si>
  <si>
    <t>At least 50% of funding must be spent in the HUD identified Most Impacted &amp; Distressed (MID) counties. The remaining funds may be spent on activities that meet the definition of mitigation in the State-identified MID counties. Based on findings of a West Virginia Needs Assessment, activities will be chosen to improve resiliency to hazard impacts, such as flooding.</t>
  </si>
  <si>
    <t>General Infrastructure; Public Facility Hardening; Regional &amp; Local Planning; Hazard Mitigation Plans; State Planning</t>
  </si>
  <si>
    <t>Recovery Housing Program (RHP)</t>
  </si>
  <si>
    <t>The Recovery Housing Program (RHP) supports individuals in recovery on their path to self-sufficiency. By providing stable housing to support recovery, RHP aims to support efforts for independent living. More specifically, RHP provides the funds to develop housing or maintain housing for individuals. Assistance per individual is limited to no longer than 24 months or until permanent housing is secured, whichever is first.</t>
  </si>
  <si>
    <t>Rehabilitation, expansion, or development of real property to preserve or expand recovery housing units; and Assist individuals with limited financial resources to pay for recovery housing through subsidies of the lease, rent, utilities, and other housing-related costs.</t>
  </si>
  <si>
    <t>Acquisition of real property; Lease, Rent, &amp; Utilities, Rehabilitation &amp; reconstruction of single-unit residential buildings; Rehabilitation &amp; reconstruction of multi-unit residential buildings; Rehabilitation &amp; reconstruction of public housing; Disposition of real property; Clearance &amp; Demolition; Relocation; Expansion of existing eligible activities to include new construction of housing;</t>
  </si>
  <si>
    <t>Not an annual award, 1. Date use of funds may begin is 6/22/2016, Contract ends date 1/13/2033.</t>
  </si>
  <si>
    <t>Not an annual award, 1. Date use of funds may begin is 6/22/2016., 2. Contract end date is 9/30/2028.</t>
  </si>
  <si>
    <t>Weatherization - DOE Formula</t>
  </si>
  <si>
    <t xml:space="preserve">Weatherization - BIL </t>
  </si>
  <si>
    <t>LIHEAP - Weatherization</t>
  </si>
  <si>
    <t>HOPWA</t>
  </si>
  <si>
    <t>LIHEAP - Repair and Replace</t>
  </si>
  <si>
    <t>Community Service Block Grant (CSBG)</t>
  </si>
  <si>
    <t xml:space="preserve">The U.S. Department of Energy's (DOE) Weatherization Assistance Program (WAP) was created in 1976 to increase the energy efficiency of dwellings owned or occupied by low-income persons, especially low-income persons who are particularly vulnerable such as: Elderly, Persons with disabilities, Families with children, High residential energy users, and Households with high energy burden. The WV Department of Economic Development (WVDED) administers the WAP in WV as the Pass-through entity of DOE. The mission of the WAP is to reduce energy costs for low-income families, particularly highly vulnerable populations, by improving the energy efficiency of their homes while ensuring their health and safety. The program uses some of the most advanced technologies and testing protocols available in the housing industry. In addition to the comfort, health benefits, and energy savings for the household, the energy conservation resulting from the efforts of state and local agencies helps the United States reduce both dependence on foreign oil and its carbon footprint.                 </t>
  </si>
  <si>
    <t>Eligible uses focus on measures that reduce energy costs and improve safety, such as: Insulation, Air Sealing leaks, Minor Repairs, Health and safety</t>
  </si>
  <si>
    <t>Non-Profit Community Action Agencies</t>
  </si>
  <si>
    <t xml:space="preserve">The Low Income Home Energy Assistance Program aims to reduce energy costs for low-income families. 15% of the state's LIHEAP allocation is set aside for the Weatherization Assistance Program. Funding provides weatherization assistance to elderly persons, persons with disabilities, households with children, households with a high energy burden, and households identified as high energy users.                        </t>
  </si>
  <si>
    <t xml:space="preserve">The Housing Opportunities​ for Persons with HIV/AIDS (HOPWA) Grant  provides low-income individuals with a HIV/AIDS positive diagnosis and their families with stable housing options and the supportive services. The goal of the HOPWA program is to provide a stable living environment for households who are experiencing a financial crisis because of issues arising from their HIV/AIDS condition. Housing assistance is used as part of a homeless prevention strategy, intended to reduce the risks of homelessness, and to improve access to health care and other needed support. As a reasonable public policy goal, HUD seeks to foster long-term solutions to housing problems of eligible persons.  </t>
  </si>
  <si>
    <t xml:space="preserve">HOPWA allowable activities include Short-Term Mortgage and Utility Assistance (STRMU), Tenant Based Rental Assistance (TBRA), Supportive Services (SS), Housing Information (HI), Permanent Housing Placement (PHP), and Facilities Operations. 
</t>
  </si>
  <si>
    <t>Non-profit organizations</t>
  </si>
  <si>
    <t>The LIHEAP Repair and Replace Program (RRP) is designed to aid low-income households in need of emergency heat, i.e., the repair or replacement of malfunctioning or non-operable heating units. Priority is given to households with disabled individuals, seniors, or young children.</t>
  </si>
  <si>
    <t>Repair or replacement of malfunctioning or non-operable heating and/or cooling systems or assistance for someone with no source of heat</t>
  </si>
  <si>
    <t>CSBG funding supports community services that work to reduce poverty, revitalize low-income communities, and provide economic opportunities for low income families.</t>
  </si>
  <si>
    <t>Projects that lessen poverty in communities, address the needs of low-income individuals, and provide services and activities addressing employment, education, better use of avaialble income, housing, nutrition, emergency services, and/or health</t>
  </si>
  <si>
    <t>Pre-Application Period Start</t>
  </si>
  <si>
    <t>Pre-Application Period End</t>
  </si>
  <si>
    <t>Pre-Application Review Start</t>
  </si>
  <si>
    <t>Pre-Application Review End</t>
  </si>
  <si>
    <t>Funding Available</t>
  </si>
  <si>
    <t xml:space="preserve">Dates depend on federal appropriation of funds and when DoHS provides info/funding. </t>
  </si>
  <si>
    <t>$11M is estimated funding, should have exact amount by end of the month</t>
  </si>
  <si>
    <t>Est. amount based on previous year</t>
  </si>
  <si>
    <t xml:space="preserve">Infrastructure projects are given 3 years to complete. </t>
  </si>
  <si>
    <t>Not an annual award</t>
  </si>
  <si>
    <t>This grant is administered by ARC. Awards will be announced Spring 2026, with projects to begin May 1, 2026</t>
  </si>
  <si>
    <t xml:space="preserve">This grant is administered by ARC. </t>
  </si>
  <si>
    <t>This grant is administered by ARC. Awards will be announced summer 2026.</t>
  </si>
  <si>
    <t>FY16</t>
  </si>
  <si>
    <t>FY22</t>
  </si>
  <si>
    <t>Energy Savings Assistance</t>
  </si>
  <si>
    <t>Housing Development &amp; Assistance</t>
  </si>
  <si>
    <t>Housing Development &amp; Assistance;Workforce Development;Childcare &amp; Family Support;Energy Savings Assistance</t>
  </si>
  <si>
    <t>Application Type</t>
  </si>
  <si>
    <t>Subaward Application</t>
  </si>
  <si>
    <t>Prime Application (State Pass-through)</t>
  </si>
  <si>
    <t>Prime Award Application</t>
  </si>
  <si>
    <t>Not clear if the dates reflect the state's application to Feds, or the subaward process to the nonprofits. Please update if it's the latter</t>
  </si>
  <si>
    <t>Subrecipients / Beneficiaries (semi-colon separated)</t>
  </si>
  <si>
    <t>Prime Recipient Type (semi-colon separated)</t>
  </si>
  <si>
    <t>Subrecipients; Homeowners; Rental property owners; Military; Universities;</t>
  </si>
  <si>
    <t>Subrecipients; Universities; Regional Planning &amp; Development Councils</t>
  </si>
  <si>
    <t>Are these application dates meant to reflect state-administered subaward process? If yes, please update Administrator to "State"</t>
  </si>
  <si>
    <t>Units of Local Government; Subrecipients; Non-Profits</t>
  </si>
  <si>
    <t>Are these application dates meant to reflect state-administered subaward process? If yes, please update Administrator to "State" and clear the "Prime Recipient" field</t>
  </si>
  <si>
    <t>Please confirm values in columns E:H. Unclear if dates reflect a prime or subaward application process.</t>
  </si>
  <si>
    <t>If the dates provided reflect subaward application process instead, please update Administrator to "State"</t>
  </si>
  <si>
    <t>Questions / Comments</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</si>
  <si>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</si>
  <si>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Units of government; State</t>
  </si>
  <si>
    <t>Governor Review Start</t>
  </si>
  <si>
    <t>Governor Review End</t>
  </si>
  <si>
    <t>Final Governor Review Start</t>
  </si>
  <si>
    <t>Final Governor Review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</si>
</sst>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_(&quot;$&quot;* #,##0_);_(&quot;$&quot;* \(#,##0\);_(&quot;$&quot;* &quot;-&quot;??_);_(@_)"/>
  </numFmts>
  <fonts count="18" x14ac:knownFonts="1">
    <font>
      <sz val="11"/>
      <color theme="1"/>
      <name val="Aptos Narrow"/>
      <family val="2"/>
      <scheme val="minor"/>
    </font>
    <font>
      <b/>
      <sz val="11"/>
      <color theme="1"/>
      <name val="Aptos Narrow"/>
      <family val="2"/>
      <scheme val="minor"/>
    </font>
    <font>
      <b/>
      <sz val="15"/>
      <color theme="3"/>
      <name val="Aptos Narrow"/>
      <family val="2"/>
      <scheme val="minor"/>
    </font>
    <font>
      <sz val="11"/>
      <color theme="0"/>
      <name val="Aptos Narrow"/>
      <family val="2"/>
      <scheme val="minor"/>
    </font>
    <font>
      <b/>
      <sz val="15"/>
      <color theme="0"/>
      <name val="Arial"/>
      <family val="2"/>
    </font>
    <font>
      <sz val="8"/>
      <name val="Aptos Narrow"/>
      <family val="2"/>
      <scheme val="minor"/>
    </font>
    <font>
      <i/>
      <sz val="11"/>
      <color theme="1"/>
      <name val="Aptos Narrow"/>
      <family val="2"/>
      <scheme val="minor"/>
    </font>
    <font>
      <b/>
      <sz val="10"/>
      <color theme="0"/>
      <name val="Arial"/>
      <family val="2"/>
    </font>
    <font>
      <sz val="11"/>
      <color rgb="FF1F1F1F"/>
      <name val="Aptos Narrow"/>
      <family val="2"/>
      <scheme val="minor"/>
    </font>
    <font>
      <sz val="11"/>
      <name val="Aptos Narrow"/>
      <family val="2"/>
    </font>
    <font>
      <sz val="11"/>
      <color theme="1"/>
      <name val="Arial"/>
      <family val="2"/>
    </font>
    <font>
      <sz val="11"/>
      <color theme="1"/>
      <name val="Aptos Narrow"/>
      <family val="2"/>
    </font>
    <font>
      <sz val="8"/>
      <color rgb="FF222222"/>
      <name val="Arial"/>
      <family val="2"/>
    </font>
    <font>
      <sz val="11"/>
      <color rgb="FFFF0000"/>
      <name val="Aptos Narrow"/>
      <family val="2"/>
      <scheme val="minor"/>
    </font>
    <font>
      <sz val="11"/>
      <color theme="1"/>
      <name val="Aptos Narrow"/>
      <family val="2"/>
      <scheme val="minor"/>
    </font>
    <font>
      <sz val="10"/>
      <color rgb="FF333333"/>
      <name val="Arial"/>
      <family val="2"/>
    </font>
    <font>
      <i/>
      <sz val="11"/>
      <color theme="1"/>
      <name val="Aptos Narrow"/>
      <family val="2"/>
    </font>
    <font>
      <i/>
      <sz val="11"/>
      <color theme="1"/>
      <name val="Arial"/>
      <family val="2"/>
    </font>
  </fonts>
  <fills count="4">
    <fill>
      <patternFill patternType="none"/>
    </fill>
    <fill>
      <patternFill patternType="gray125"/>
    </fill>
    <fill>
      <patternFill patternType="solid">
        <fgColor rgb="FF008768"/>
        <bgColor indexed="64"/>
      </patternFill>
    </fill>
    <fill>
      <patternFill patternType="solid">
        <fgColor rgb="FFFFFF00"/>
        <bgColor indexed="64"/>
      </patternFill>
    </fill>
  </fills>
  <borders count="2">
    <border>
      <left/>
      <right/>
      <top/>
      <bottom/>
      <diagonal/>
    </border>
    <border>
      <left/>
      <right/>
      <top/>
      <bottom style="thick">
        <color theme="4"/>
      </bottom>
      <diagonal/>
    </border>
  </borders>
  <cellStyleXfs count="3">
    <xf numFmtId="0" fontId="0" fillId="0" borderId="0"/>
    <xf numFmtId="0" fontId="2" fillId="0" borderId="1" applyNumberFormat="0" applyFill="0" applyAlignment="0" applyProtection="0"/>
    <xf numFmtId="44" fontId="14" fillId="0" borderId="0" applyFont="0" applyFill="0" applyBorder="0" applyAlignment="0" applyProtection="0"/>
  </cellStyleXfs>
  <cellXfs count="47">
    <xf numFmtId="0" fontId="0" fillId="0" borderId="0" xfId="0"/>
    <xf numFmtId="0" fontId="1" fillId="0" borderId="0" xfId="0" applyFont="1" applyAlignment="1">
      <alignment wrapText="1"/>
    </xf>
    <xf numFmtId="0" fontId="0" fillId="2" borderId="0" xfId="0" applyFill="1" applyAlignment="1">
      <alignment vertical="top"/>
    </xf>
    <xf numFmtId="49" fontId="3" fillId="2" borderId="0" xfId="0" applyNumberFormat="1" applyFont="1" applyFill="1" applyAlignment="1">
      <alignment vertical="top" wrapText="1"/>
    </xf>
    <xf numFmtId="0" fontId="0" fillId="2" borderId="0" xfId="0" applyFill="1"/>
    <xf numFmtId="49" fontId="4" fillId="2" borderId="0" xfId="1" applyNumberFormat="1" applyFont="1" applyFill="1" applyBorder="1" applyAlignment="1">
      <alignment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6" fillId="0" borderId="0" xfId="0" applyFont="1" applyAlignment="1">
      <alignment horizontal="left" wrapText="1" indent="4"/>
    </xf>
    <xf numFmtId="49" fontId="7" fillId="2" borderId="0" xfId="1" applyNumberFormat="1" applyFont="1" applyFill="1" applyBorder="1" applyAlignment="1">
      <alignment wrapText="1"/>
    </xf>
    <xf numFmtId="0" fontId="6" fillId="0" borderId="0" xfId="0" applyFont="1" applyAlignment="1">
      <alignment vertical="center"/>
    </xf>
    <xf numFmtId="0" fontId="6" fillId="0" borderId="0" xfId="0" applyFont="1" applyAlignment="1">
      <alignment vertical="center" wrapText="1"/>
    </xf>
    <xf numFmtId="14" fontId="0" fillId="0" borderId="0" xfId="0" applyNumberFormat="1"/>
    <xf numFmtId="0" fontId="0" fillId="0" borderId="0" xfId="0" applyAlignment="1">
      <alignment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vertical="top"/>
    </xf>
    <xf numFmtId="0" fontId="11" fillId="0" borderId="0" xfId="0" applyFont="1" applyAlignment="1">
      <alignment vertical="top" wrapText="1"/>
    </xf>
    <xf numFmtId="0" fontId="11" fillId="0" borderId="0" xfId="0" applyFont="1" applyAlignment="1">
      <alignment vertical="top"/>
    </xf>
    <xf numFmtId="14" fontId="11" fillId="0" borderId="0" xfId="0" applyNumberFormat="1" applyFont="1" applyAlignment="1">
      <alignment horizontal="right" vertical="top"/>
    </xf>
    <xf numFmtId="0" fontId="12" fillId="0" borderId="0" xfId="0" applyFont="1"/>
    <xf numFmtId="14" fontId="13" fillId="0" borderId="0" xfId="0" applyNumberFormat="1" applyFont="1"/>
    <xf numFmtId="0" fontId="10" fillId="0" borderId="0" xfId="0" applyFont="1" applyAlignment="1">
      <alignment vertical="center"/>
    </xf>
    <xf numFmtId="0" fontId="11" fillId="0" borderId="0" xfId="0" applyFont="1" applyAlignment="1">
      <alignment vertical="center"/>
    </xf>
    <xf numFmtId="0" fontId="10" fillId="0" borderId="0" xfId="0" applyFont="1" applyAlignment="1">
      <alignment vertical="center" wrapText="1"/>
    </xf>
    <xf numFmtId="0" fontId="11" fillId="0" borderId="0" xfId="0" applyFont="1" applyAlignment="1">
      <alignment vertical="center" wrapText="1"/>
    </xf>
    <xf numFmtId="0" fontId="15" fillId="0" borderId="0" xfId="0" applyFont="1"/>
    <xf numFmtId="0" fontId="16" fillId="0" borderId="0" xfId="0" applyFont="1"/>
    <xf numFmtId="0" fontId="17" fillId="0" borderId="0" xfId="0" applyFont="1"/>
    <xf numFmtId="14" fontId="16" fillId="0" borderId="0" xfId="0" applyNumberFormat="1" applyFont="1"/>
    <xf numFmtId="14" fontId="17" fillId="0" borderId="0" xfId="0" applyNumberFormat="1" applyFont="1"/>
    <xf numFmtId="0" fontId="10" fillId="0" borderId="0" xfId="0" applyFont="1"/>
    <xf numFmtId="0" fontId="14" fillId="0" borderId="0" xfId="0" applyFont="1"/>
    <xf numFmtId="14" fontId="10" fillId="0" borderId="0" xfId="0" applyNumberFormat="1" applyFont="1"/>
    <xf numFmtId="14" fontId="14" fillId="0" borderId="0" xfId="0" applyNumberFormat="1" applyFont="1"/>
    <xf numFmtId="14" fontId="11" fillId="0" borderId="0" xfId="0" applyNumberFormat="1" applyFont="1" applyAlignment="1">
      <alignment vertical="top"/>
    </xf>
    <xf numFmtId="0" fontId="1" fillId="0" borderId="0" xfId="0" applyFont="1"/>
    <xf numFmtId="0" fontId="13" fillId="3" borderId="0" xfId="0" applyFont="1" applyFill="1" applyAlignment="1">
      <alignment wrapText="1"/>
    </xf>
    <xf numFmtId="0" fontId="9" fillId="0" borderId="0" xfId="0" applyFont="1" applyAlignment="1">
      <alignment vertical="top" wrapText="1"/>
    </xf>
    <xf numFmtId="165" fontId="7" fillId="2" borderId="0" xfId="2" applyNumberFormat="1" applyFont="1" applyFill="1" applyBorder="1" applyAlignment="1">
      <alignment wrapText="1"/>
    </xf>
    <xf numFmtId="165" fontId="0" fillId="0" borderId="0" xfId="2" applyNumberFormat="1" applyFont="1"/>
    <xf numFmtId="165" fontId="10" fillId="0" borderId="0" xfId="2" applyNumberFormat="1" applyFont="1" applyAlignment="1">
      <alignment vertical="top"/>
    </xf>
    <xf numFmtId="165" fontId="16" fillId="0" borderId="0" xfId="2" applyNumberFormat="1" applyFont="1"/>
    <xf numFmtId="165" fontId="10" fillId="0" borderId="0" xfId="2" applyNumberFormat="1" applyFont="1"/>
    <xf numFmtId="165" fontId="17" fillId="0" borderId="0" xfId="2" applyNumberFormat="1" applyFont="1"/>
    <xf numFmtId="165" fontId="14" fillId="0" borderId="0" xfId="2" applyNumberFormat="1" applyFont="1"/>
  </cellXfs>
  <cellStyles count="3">
    <cellStyle name="Currency" xfId="2" builtinId="4"/>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Bush, James E" id="{7B800BD0-98E8-4F85-A36A-08305C50D62E}" userId="S::A021175@wv.gov::943bd4df-411c-46d3-a246-f4eb61bc3ee4" providerId="AD"/>
  <person displayName="Halsey, Ryan J" id="{0833CB18-398E-4FA0-8A9F-3C548D59B730}" userId="S::E089693@wv.gov::5d129c9a-51bc-4cb7-9578-fca3e60040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 dT="2025-10-22T20:16:25.28" personId="{0833CB18-398E-4FA0-8A9F-3C548D59B730}" id="{EC151280-4A10-45DF-84A8-A7F660DF5F20}">
    <text xml:space="preserve">CDBG does not require an Letter of Intent. </text>
  </threadedComment>
  <threadedComment ref="D3" dT="2025-10-23T17:13:13.85" personId="{7B800BD0-98E8-4F85-A36A-08305C50D62E}" id="{7A2DBCB7-74B9-4C7D-B980-196AA9EA3847}">
    <text>ARC area development does not use an LOI</text>
  </threadedComment>
  <threadedComment ref="E3" dT="2025-10-23T17:13:13.85" personId="{7B800BD0-98E8-4F85-A36A-08305C50D62E}" id="{A2CFB1C4-16E6-4194-A82D-52B27B2E538A}">
    <text>ARC area development does not use an LOI</text>
  </threadedComment>
  <threadedComment ref="F3" dT="2025-10-23T17:13:13.85" personId="{7B800BD0-98E8-4F85-A36A-08305C50D62E}" id="{88048AE4-4D9E-49F3-AF3B-898C8E600153}">
    <text>ARC area development does not use an LOI</text>
  </threadedComment>
  <threadedComment ref="G3" dT="2025-10-23T17:13:13.85" personId="{7B800BD0-98E8-4F85-A36A-08305C50D62E}" id="{C5DC4623-4235-4A74-BEA2-052501351F9D}">
    <text>ARC area development does not use an LOI</text>
  </threadedComment>
  <threadedComment ref="R3" dT="2025-10-23T17:11:31.84" personId="{7B800BD0-98E8-4F85-A36A-08305C50D62E}" id="{0037D3EE-C17D-40B7-B753-FBCF1068FB5E}">
    <text>ARC determines award/implementation date on a project by project basis</text>
  </threadedComment>
  <threadedComment ref="S3" dT="2025-10-23T17:11:31.84" personId="{7B800BD0-98E8-4F85-A36A-08305C50D62E}" id="{6367D1F8-1229-4DC1-8C67-7D5B05615DF2}">
    <text>ARC determines award/implementation date on a project by project basis</text>
  </threadedComment>
  <threadedComment ref="T3" dT="2025-10-23T17:11:31.84" personId="{7B800BD0-98E8-4F85-A36A-08305C50D62E}" id="{C019E215-40EE-4F8F-85D3-46EC18BFF697}">
    <text>ARC determines award/implementation date on a project by project basis</text>
  </threadedComment>
  <threadedComment ref="U3" dT="2025-10-23T17:11:31.84" personId="{7B800BD0-98E8-4F85-A36A-08305C50D62E}" id="{67C09406-4732-4107-8E2F-8517E811CD14}">
    <text>ARC determines award/implementation date on a project by project basis</text>
  </threadedComment>
  <threadedComment ref="F4" dT="2025-10-23T17:50:28.43" personId="{7B800BD0-98E8-4F85-A36A-08305C50D62E}" id="{2DC2187A-2A64-4673-9EAB-2E2A4244EB2A}">
    <text>ARC reviews LOIs to make sure they meet basic eligibility requirements.  Eligible applicants are then invited to submit a full application.</text>
  </threadedComment>
  <threadedComment ref="G4" dT="2025-10-23T17:50:28.43" personId="{7B800BD0-98E8-4F85-A36A-08305C50D62E}" id="{D628A0EE-C52B-40C7-9F3F-E35EDFB364BF}">
    <text>ARC reviews LOIs to make sure they meet basic eligibility requirements.  Eligible applicants are then given access to the application portal to submit their application.</text>
  </threadedComment>
  <threadedComment ref="L4" dT="2025-10-23T18:48:35.62" personId="{7B800BD0-98E8-4F85-A36A-08305C50D62E}" id="{3E2FC75C-D986-4546-B201-7C26EA855A9D}">
    <text>Only those applicants who submitted an approved LOI can submit a full application</text>
  </threadedComment>
  <threadedComment ref="R4" dT="2025-10-23T17:46:14.24" personId="{7B800BD0-98E8-4F85-A36A-08305C50D62E}" id="{258E61A9-609E-4BAA-93C4-716281171F02}">
    <text>ARC will determine award/implementation start and end dates</text>
  </threadedComment>
  <threadedComment ref="S4" dT="2025-10-23T17:46:14.24" personId="{7B800BD0-98E8-4F85-A36A-08305C50D62E}" id="{362EEBBB-B79F-4EE1-AF80-08DD3B2360B9}">
    <text>ARC will determine award/implementation start and end dates</text>
  </threadedComment>
  <threadedComment ref="T4" dT="2025-10-23T17:46:14.24" personId="{7B800BD0-98E8-4F85-A36A-08305C50D62E}" id="{B28AA5D9-DDA0-4BCE-978F-281E09CA397E}">
    <text>ARC will determine award/implementation start and end dates</text>
  </threadedComment>
  <threadedComment ref="U4" dT="2025-10-23T17:46:14.24" personId="{7B800BD0-98E8-4F85-A36A-08305C50D62E}" id="{F99E784E-8BEC-4DC5-96E6-074268DB02D7}">
    <text>ARC will determine award/implementation start and end dates</text>
  </threadedComment>
  <threadedComment ref="H5" dT="2025-10-23T18:44:31.75" personId="{7B800BD0-98E8-4F85-A36A-08305C50D62E}" id="{DE44E4C3-FD13-4DA6-BEED-E94D5A7E4441}">
    <text>ARC ARISE program uses a pre-application instead of an LOI.</text>
  </threadedComment>
  <threadedComment ref="J5" dT="2025-10-23T18:55:35.54" personId="{7B800BD0-98E8-4F85-A36A-08305C50D62E}" id="{0731ACB6-B22F-4435-A94F-472844C7B749}">
    <text>Pre-applications are reviewed and scored by ARC, state program managers, and outside subject matter experts.</text>
  </threadedComment>
  <threadedComment ref="L5" dT="2025-10-23T18:52:40.42" personId="{7B800BD0-98E8-4F85-A36A-08305C50D62E}" id="{64546426-7AE9-4E2E-8EC7-41364FF5EDA2}">
    <text>Upon review and scoring of the pre-application, ARC will invite successful applicants to submit a full application.</text>
  </threadedComment>
  <threadedComment ref="R5" dT="2025-10-23T17:46:14.24" personId="{7B800BD0-98E8-4F85-A36A-08305C50D62E}" id="{8EB622CB-B406-41B6-9EB5-B40524B2CBC0}">
    <text>ARC will determine award/implementation start and end dates</text>
  </threadedComment>
  <threadedComment ref="S5" dT="2025-10-23T17:46:14.24" personId="{7B800BD0-98E8-4F85-A36A-08305C50D62E}" id="{67EB8B4E-CE05-4549-81D5-D0A264EE9DD2}">
    <text>ARC will determine award/implementation start and end dates</text>
  </threadedComment>
  <threadedComment ref="T5" dT="2025-10-23T17:46:14.24" personId="{7B800BD0-98E8-4F85-A36A-08305C50D62E}" id="{AEC71D09-0122-4449-A16B-8B5B0D953BA9}">
    <text>ARC will determine award/implementation start and end dates</text>
  </threadedComment>
  <threadedComment ref="U5" dT="2025-10-23T17:46:14.24" personId="{7B800BD0-98E8-4F85-A36A-08305C50D62E}" id="{6DC4865D-9385-4926-9BB1-F0D6BD2E822B}">
    <text>ARC will determine award/implementation start and end dates</text>
  </threadedComment>
  <threadedComment ref="F6" dT="2025-10-23T17:50:28.43" personId="{7B800BD0-98E8-4F85-A36A-08305C50D62E}" id="{8260807C-8D60-4DDB-8950-2D62F6C4C750}">
    <text>ARC reviews LOIs to make sure they meet basic eligibility requirements.  Eligible applicants are then invited to submit a full application.</text>
  </threadedComment>
  <threadedComment ref="G6" dT="2025-10-23T17:50:28.43" personId="{7B800BD0-98E8-4F85-A36A-08305C50D62E}" id="{D4661523-24C1-495D-AD4C-2B8D18727E63}">
    <text>ARC reviews LOIs to make sure they meet basic eligibility requirements.  Eligible applicants are then invited to submit a full application.</text>
  </threadedComment>
  <threadedComment ref="R6" dT="2025-10-23T20:15:43.22" personId="{7B800BD0-98E8-4F85-A36A-08305C50D62E}" id="{A289ADE4-FB83-48EB-AD47-C99835AD1023}">
    <text>ARC determines award and start dates on a project by project basis</text>
  </threadedComment>
  <threadedComment ref="S6" dT="2025-10-23T20:15:43.22" personId="{7B800BD0-98E8-4F85-A36A-08305C50D62E}" id="{47593B4C-12B6-4C7B-8547-651DD8305FE2}">
    <text>ARC determines award and start dates on a project by project basis</text>
  </threadedComment>
  <threadedComment ref="T6" dT="2025-10-23T20:15:43.22" personId="{7B800BD0-98E8-4F85-A36A-08305C50D62E}" id="{B6571764-F59D-4D23-9841-08A837624015}">
    <text>ARC determines award and start dates on a project by project basis</text>
  </threadedComment>
  <threadedComment ref="U6" dT="2025-10-23T20:15:43.22" personId="{7B800BD0-98E8-4F85-A36A-08305C50D62E}" id="{9CC7FFF7-25B8-4917-B4CE-9CDEBABDF4D8}">
    <text>ARC determines award and start dates on a project by project basis</text>
  </threadedComment>
  <threadedComment ref="D7" dT="2025-10-27T14:08:48.27" personId="{7B800BD0-98E8-4F85-A36A-08305C50D62E}" id="{A16107DD-CC2F-4306-A605-9396F7FA9B2B}">
    <text>LWCF does not use an LOI or any type of pre-application.</text>
  </threadedComment>
  <threadedComment ref="R7" dT="2025-10-27T14:10:54.58" personId="{7B800BD0-98E8-4F85-A36A-08305C50D62E}" id="{0548119E-1D8B-4520-A648-D253F8ED346E}">
    <text xml:space="preserve">All LWCF grants must be reviewed and approved by NPS.  Award dates and implementation start and end dates are determined by NPS.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9E2F9-0C43-4C63-8D84-216097B56DB1}">
  <sheetPr codeName="Sheet1"/>
  <dimension ref="A1:B6"/>
  <sheetViews>
    <sheetView workbookViewId="0">
      <selection activeCell="B3" sqref="B3:B6"/>
    </sheetView>
  </sheetViews>
  <sheetFormatPr defaultRowHeight="15" x14ac:dyDescent="0.25"/>
  <cols>
    <col min="1" max="1" width="2.7109375" customWidth="1"/>
    <col min="2" max="2" width="111.7109375" customWidth="1"/>
  </cols>
  <sheetData>
    <row r="1" spans="1:2" ht="10.5" customHeight="1" x14ac:dyDescent="0.25">
      <c r="A1" s="2"/>
      <c r="B1" s="3"/>
    </row>
    <row r="2" spans="1:2" ht="19.5" x14ac:dyDescent="0.3">
      <c r="A2" s="4"/>
      <c r="B2" s="5" t="s">
        <v>0</v>
      </c>
    </row>
    <row r="3" spans="1:2" ht="69" customHeight="1" x14ac:dyDescent="0.25">
      <c r="B3" s="6" t="s">
        <v>128</v>
      </c>
    </row>
    <row r="4" spans="1:2" ht="30" x14ac:dyDescent="0.25">
      <c r="B4" s="9" t="s">
        <v>1</v>
      </c>
    </row>
    <row r="5" spans="1:2" ht="30" x14ac:dyDescent="0.25">
      <c r="B5" s="6" t="s">
        <v>2</v>
      </c>
    </row>
    <row r="6" spans="1:2" ht="30" x14ac:dyDescent="0.25">
      <c r="B6" s="9"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625B-D717-4D80-B1CB-C027E2277DEE}">
  <sheetPr codeName="Sheet2" filterMode="1"/>
  <dimension ref="A1:I18"/>
  <sheetViews>
    <sheetView zoomScale="85" zoomScaleNormal="85" workbookViewId="0">
      <pane xSplit="1" ySplit="1" topLeftCell="B8" activePane="bottomRight" state="frozen"/>
      <selection pane="topRight" activeCell="B1" sqref="B1"/>
      <selection pane="bottomLeft" activeCell="A2" sqref="A2"/>
      <selection pane="bottomRight" activeCell="C12" sqref="B12:C12"/>
    </sheetView>
  </sheetViews>
  <sheetFormatPr defaultColWidth="9.140625" defaultRowHeight="15" x14ac:dyDescent="0.25"/>
  <cols>
    <col min="1" max="1" width="33.7109375" style="7" customWidth="1"/>
    <col min="2" max="3" width="75" style="8" customWidth="1"/>
    <col min="4" max="4" width="32.7109375" style="8" bestFit="1" customWidth="1"/>
    <col min="5" max="5" width="16.7109375" style="7" customWidth="1"/>
    <col min="6" max="6" width="19.7109375" style="8" customWidth="1"/>
    <col min="7" max="7" width="30.140625" style="8" customWidth="1"/>
    <col min="8" max="8" width="37.85546875" style="8" customWidth="1"/>
    <col min="9" max="9" width="46.5703125" style="8" customWidth="1"/>
    <col min="10" max="16384" width="9.140625" style="7"/>
  </cols>
  <sheetData>
    <row r="1" spans="1:9" customFormat="1" ht="30" x14ac:dyDescent="0.25">
      <c r="A1" s="10" t="s">
        <v>4</v>
      </c>
      <c r="B1" s="10" t="s">
        <v>6</v>
      </c>
      <c r="C1" s="10" t="s">
        <v>7</v>
      </c>
      <c r="D1" s="10" t="s">
        <v>8</v>
      </c>
      <c r="E1" s="38" t="s">
        <v>5</v>
      </c>
      <c r="F1" s="38" t="s">
        <v>113</v>
      </c>
      <c r="G1" s="38" t="s">
        <v>119</v>
      </c>
      <c r="H1" s="38" t="s">
        <v>118</v>
      </c>
      <c r="I1" s="38" t="s">
        <v>127</v>
      </c>
    </row>
    <row r="2" spans="1:9" s="11" customFormat="1" ht="45" hidden="1" x14ac:dyDescent="0.25">
      <c r="A2" s="11" t="s">
        <v>9</v>
      </c>
      <c r="B2" s="12" t="s">
        <v>11</v>
      </c>
      <c r="C2" s="12" t="s">
        <v>12</v>
      </c>
      <c r="D2" s="12" t="s">
        <v>13</v>
      </c>
      <c r="E2" s="11" t="s">
        <v>10</v>
      </c>
      <c r="F2" s="12" t="s">
        <v>116</v>
      </c>
      <c r="G2" s="12" t="s">
        <v>14</v>
      </c>
      <c r="H2" s="12"/>
      <c r="I2" s="12"/>
    </row>
    <row r="3" spans="1:9" ht="180" hidden="1" x14ac:dyDescent="0.25">
      <c r="A3" s="7" t="s">
        <v>34</v>
      </c>
      <c r="B3" s="8" t="s">
        <v>35</v>
      </c>
      <c r="C3" s="8" t="s">
        <v>36</v>
      </c>
      <c r="D3" s="8" t="s">
        <v>37</v>
      </c>
      <c r="E3" s="7" t="s">
        <v>28</v>
      </c>
      <c r="F3" s="8" t="s">
        <v>115</v>
      </c>
      <c r="G3" s="8" t="s">
        <v>29</v>
      </c>
      <c r="H3" s="8" t="s">
        <v>38</v>
      </c>
      <c r="I3" s="8" t="s">
        <v>122</v>
      </c>
    </row>
    <row r="4" spans="1:9" ht="105" hidden="1" x14ac:dyDescent="0.25">
      <c r="A4" s="7" t="s">
        <v>39</v>
      </c>
      <c r="B4" s="8" t="s">
        <v>40</v>
      </c>
      <c r="C4" s="8" t="s">
        <v>42</v>
      </c>
      <c r="D4" s="8" t="s">
        <v>41</v>
      </c>
      <c r="E4" s="7" t="s">
        <v>28</v>
      </c>
      <c r="F4" s="8" t="s">
        <v>115</v>
      </c>
      <c r="G4" s="8" t="s">
        <v>29</v>
      </c>
      <c r="H4" s="8" t="s">
        <v>43</v>
      </c>
    </row>
    <row r="5" spans="1:9" ht="150" hidden="1" x14ac:dyDescent="0.25">
      <c r="A5" s="7" t="s">
        <v>44</v>
      </c>
      <c r="B5" s="8" t="s">
        <v>45</v>
      </c>
      <c r="C5" s="8" t="s">
        <v>54</v>
      </c>
      <c r="D5" s="8" t="s">
        <v>46</v>
      </c>
      <c r="E5" s="7" t="s">
        <v>28</v>
      </c>
      <c r="F5" s="8" t="s">
        <v>115</v>
      </c>
      <c r="G5" s="8" t="s">
        <v>29</v>
      </c>
      <c r="H5" s="8" t="s">
        <v>43</v>
      </c>
    </row>
    <row r="6" spans="1:9" ht="180" hidden="1" x14ac:dyDescent="0.25">
      <c r="A6" s="7" t="s">
        <v>47</v>
      </c>
      <c r="B6" s="8" t="s">
        <v>48</v>
      </c>
      <c r="C6" s="8" t="s">
        <v>49</v>
      </c>
      <c r="D6" s="8" t="s">
        <v>50</v>
      </c>
      <c r="E6" s="7" t="s">
        <v>28</v>
      </c>
      <c r="F6" s="8" t="s">
        <v>115</v>
      </c>
      <c r="G6" s="8" t="s">
        <v>29</v>
      </c>
      <c r="H6" s="8" t="s">
        <v>43</v>
      </c>
    </row>
    <row r="7" spans="1:9" ht="120" hidden="1" x14ac:dyDescent="0.25">
      <c r="A7" s="7" t="s">
        <v>51</v>
      </c>
      <c r="B7" s="8" t="s">
        <v>52</v>
      </c>
      <c r="C7" s="8" t="s">
        <v>55</v>
      </c>
      <c r="D7" s="8" t="s">
        <v>53</v>
      </c>
      <c r="E7" s="7" t="s">
        <v>28</v>
      </c>
      <c r="F7" s="8" t="s">
        <v>115</v>
      </c>
      <c r="G7" s="8" t="s">
        <v>29</v>
      </c>
      <c r="H7" s="8" t="s">
        <v>43</v>
      </c>
    </row>
    <row r="8" spans="1:9" ht="60" x14ac:dyDescent="0.25">
      <c r="A8" s="7" t="s">
        <v>56</v>
      </c>
      <c r="B8" s="8" t="s">
        <v>57</v>
      </c>
      <c r="C8" s="8" t="s">
        <v>58</v>
      </c>
      <c r="D8" s="8" t="s">
        <v>59</v>
      </c>
      <c r="E8" s="7" t="s">
        <v>28</v>
      </c>
      <c r="F8" s="8" t="s">
        <v>115</v>
      </c>
      <c r="G8" s="8" t="s">
        <v>29</v>
      </c>
      <c r="H8" s="8" t="s">
        <v>129</v>
      </c>
      <c r="I8" s="8" t="s">
        <v>125</v>
      </c>
    </row>
    <row r="9" spans="1:9" ht="270" hidden="1" x14ac:dyDescent="0.25">
      <c r="A9" s="7" t="s">
        <v>60</v>
      </c>
      <c r="B9" s="14" t="s">
        <v>61</v>
      </c>
      <c r="C9" s="15" t="s">
        <v>62</v>
      </c>
      <c r="E9" s="7" t="s">
        <v>28</v>
      </c>
      <c r="F9" s="8" t="s">
        <v>115</v>
      </c>
      <c r="G9" s="39" t="s">
        <v>29</v>
      </c>
      <c r="H9" s="39" t="s">
        <v>63</v>
      </c>
      <c r="I9" s="8" t="s">
        <v>117</v>
      </c>
    </row>
    <row r="10" spans="1:9" ht="105" hidden="1" x14ac:dyDescent="0.25">
      <c r="A10" s="16" t="s">
        <v>64</v>
      </c>
      <c r="B10" s="18" t="s">
        <v>65</v>
      </c>
      <c r="C10" s="18" t="s">
        <v>66</v>
      </c>
      <c r="D10" s="18" t="s">
        <v>67</v>
      </c>
      <c r="E10" s="17" t="s">
        <v>28</v>
      </c>
      <c r="F10" s="16" t="s">
        <v>115</v>
      </c>
      <c r="G10" s="18" t="s">
        <v>29</v>
      </c>
      <c r="H10" s="18" t="s">
        <v>120</v>
      </c>
    </row>
    <row r="11" spans="1:9" ht="75" hidden="1" x14ac:dyDescent="0.25">
      <c r="A11" s="16" t="s">
        <v>68</v>
      </c>
      <c r="B11" s="18" t="s">
        <v>69</v>
      </c>
      <c r="C11" s="18" t="s">
        <v>70</v>
      </c>
      <c r="D11" s="18" t="s">
        <v>71</v>
      </c>
      <c r="E11" s="17" t="s">
        <v>28</v>
      </c>
      <c r="F11" s="16" t="s">
        <v>115</v>
      </c>
      <c r="G11" s="18" t="s">
        <v>29</v>
      </c>
      <c r="H11" s="18" t="s">
        <v>121</v>
      </c>
    </row>
    <row r="12" spans="1:9" ht="180" hidden="1" x14ac:dyDescent="0.25">
      <c r="A12" s="16" t="s">
        <v>72</v>
      </c>
      <c r="B12" s="18" t="s">
        <v>73</v>
      </c>
      <c r="C12" s="18" t="s">
        <v>74</v>
      </c>
      <c r="D12" s="18" t="s">
        <v>75</v>
      </c>
      <c r="E12" s="17" t="s">
        <v>28</v>
      </c>
      <c r="F12" s="16" t="s">
        <v>115</v>
      </c>
      <c r="G12" s="18" t="s">
        <v>29</v>
      </c>
      <c r="H12" s="18" t="s">
        <v>123</v>
      </c>
      <c r="I12" s="8" t="s">
        <v>124</v>
      </c>
    </row>
    <row r="13" spans="1:9" ht="213.75" hidden="1" x14ac:dyDescent="0.25">
      <c r="A13" s="23" t="s">
        <v>78</v>
      </c>
      <c r="B13" s="25" t="s">
        <v>84</v>
      </c>
      <c r="C13" s="25" t="s">
        <v>85</v>
      </c>
      <c r="D13" s="25" t="s">
        <v>110</v>
      </c>
      <c r="E13" s="23" t="s">
        <v>28</v>
      </c>
      <c r="F13" s="16" t="s">
        <v>115</v>
      </c>
      <c r="G13" s="8" t="s">
        <v>29</v>
      </c>
      <c r="H13" s="25" t="s">
        <v>86</v>
      </c>
      <c r="I13" s="8" t="s">
        <v>126</v>
      </c>
    </row>
    <row r="14" spans="1:9" ht="213.75" hidden="1" x14ac:dyDescent="0.25">
      <c r="A14" s="23" t="s">
        <v>79</v>
      </c>
      <c r="B14" s="25" t="s">
        <v>84</v>
      </c>
      <c r="C14" s="25" t="s">
        <v>85</v>
      </c>
      <c r="D14" s="25" t="s">
        <v>110</v>
      </c>
      <c r="E14" s="23" t="s">
        <v>28</v>
      </c>
      <c r="F14" s="16" t="s">
        <v>115</v>
      </c>
      <c r="G14" s="8" t="s">
        <v>29</v>
      </c>
      <c r="H14" s="26" t="s">
        <v>86</v>
      </c>
      <c r="I14" s="8" t="s">
        <v>126</v>
      </c>
    </row>
    <row r="15" spans="1:9" ht="85.5" hidden="1" x14ac:dyDescent="0.25">
      <c r="A15" s="23" t="s">
        <v>80</v>
      </c>
      <c r="B15" s="25" t="s">
        <v>87</v>
      </c>
      <c r="C15" s="26" t="s">
        <v>85</v>
      </c>
      <c r="D15" s="25" t="s">
        <v>110</v>
      </c>
      <c r="E15" s="23" t="s">
        <v>28</v>
      </c>
      <c r="F15" s="16" t="s">
        <v>115</v>
      </c>
      <c r="G15" s="8" t="s">
        <v>29</v>
      </c>
      <c r="H15" s="26" t="s">
        <v>86</v>
      </c>
      <c r="I15" s="8" t="s">
        <v>126</v>
      </c>
    </row>
    <row r="16" spans="1:9" ht="142.5" hidden="1" x14ac:dyDescent="0.25">
      <c r="A16" s="23" t="s">
        <v>81</v>
      </c>
      <c r="B16" s="25" t="s">
        <v>88</v>
      </c>
      <c r="C16" s="25" t="s">
        <v>89</v>
      </c>
      <c r="D16" t="s">
        <v>111</v>
      </c>
      <c r="E16" s="23" t="s">
        <v>28</v>
      </c>
      <c r="F16" s="16" t="s">
        <v>115</v>
      </c>
      <c r="G16" s="8" t="s">
        <v>29</v>
      </c>
      <c r="H16" s="25" t="s">
        <v>90</v>
      </c>
      <c r="I16" s="8" t="s">
        <v>126</v>
      </c>
    </row>
    <row r="17" spans="1:8" ht="60" hidden="1" x14ac:dyDescent="0.2">
      <c r="A17" s="24" t="s">
        <v>82</v>
      </c>
      <c r="B17" s="26" t="s">
        <v>91</v>
      </c>
      <c r="C17" s="27" t="s">
        <v>92</v>
      </c>
      <c r="D17" s="25" t="s">
        <v>110</v>
      </c>
      <c r="E17" s="24" t="s">
        <v>29</v>
      </c>
      <c r="F17" s="26" t="s">
        <v>114</v>
      </c>
      <c r="G17" s="8" t="s">
        <v>29</v>
      </c>
      <c r="H17" s="26" t="s">
        <v>90</v>
      </c>
    </row>
    <row r="18" spans="1:8" ht="60" hidden="1" x14ac:dyDescent="0.25">
      <c r="A18" s="24" t="s">
        <v>83</v>
      </c>
      <c r="B18" s="26" t="s">
        <v>93</v>
      </c>
      <c r="C18" s="26" t="s">
        <v>94</v>
      </c>
      <c r="D18" t="s">
        <v>112</v>
      </c>
      <c r="E18" s="24" t="s">
        <v>28</v>
      </c>
      <c r="F18" s="26" t="s">
        <v>115</v>
      </c>
      <c r="G18" s="8" t="s">
        <v>29</v>
      </c>
      <c r="H18" s="26" t="s">
        <v>86</v>
      </c>
    </row>
  </sheetData>
  <autoFilter ref="A1:I18" xr:uid="{4BA0625B-D717-4D80-B1CB-C027E2277DEE}">
    <filterColumn colId="0">
      <filters>
        <filter val="Land and Water Conservation Fund (LWCF)"/>
      </filters>
    </filterColumn>
  </autoFilter>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9E999FD-8182-453E-836F-CD0C5881BFB3}">
          <x14:formula1>
            <xm:f>Dropdowns!$A$2:$A$4</xm:f>
          </x14:formula1>
          <xm:sqref>E1:E1048576</xm:sqref>
        </x14:dataValidation>
        <x14:dataValidation type="list" allowBlank="1" showInputMessage="1" showErrorMessage="1" xr:uid="{96035E5A-975D-4F2A-AF08-ED6E86B977A6}">
          <x14:formula1>
            <xm:f>Dropdowns!$E$2:$E$4</xm:f>
          </x14:formula1>
          <xm:sqref>F2:F1048576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D8AE-5E8B-4B10-9FA0-957FC49C37EB}">
  <sheetPr codeName="Sheet3"/>
  <dimension ref="A1:V19"/>
  <sheetViews>
    <sheetView tabSelected="1" zoomScale="85" zoomScaleNormal="85" workbookViewId="0">
      <pane xSplit="1" ySplit="1" topLeftCell="B2" activePane="bottomRight" state="frozen"/>
      <selection pane="topRight" activeCell="B1" sqref="B1"/>
      <selection pane="bottomLeft" activeCell="A2" sqref="A2"/>
      <selection pane="bottomRight" activeCell="I11" sqref="I11"/>
    </sheetView>
  </sheetViews>
  <sheetFormatPr defaultRowHeight="15" x14ac:dyDescent="0.25"/>
  <cols>
    <col min="1" max="1" width="65.7109375" customWidth="1"/>
    <col min="2" max="2" width="16" style="41" customWidth="1"/>
    <col min="3" max="3" width="8.85546875" customWidth="1"/>
    <col min="4" max="21" width="11.28515625" customWidth="1"/>
    <col min="22" max="22" width="22.28515625" customWidth="1"/>
  </cols>
  <sheetData>
    <row r="1" spans="1:22" s="1" customFormat="1" ht="51.75" x14ac:dyDescent="0.25">
      <c r="A1" s="10" t="s">
        <v>4</v>
      </c>
      <c r="B1" s="40" t="s">
        <v>99</v>
      </c>
      <c r="C1" s="10" t="s">
        <v>15</v>
      </c>
      <c r="D1" s="10" t="s">
        <v>16</v>
      </c>
      <c r="E1" s="10" t="s">
        <v>17</v>
      </c>
      <c r="F1" s="10" t="s">
        <v>18</v>
      </c>
      <c r="G1" s="10" t="s">
        <v>19</v>
      </c>
      <c r="H1" s="10" t="s">
        <v>95</v>
      </c>
      <c r="I1" s="10" t="s">
        <v>96</v>
      </c>
      <c r="J1" s="10" t="s">
        <v>97</v>
      </c>
      <c r="K1" s="10" t="s">
        <v>98</v>
      </c>
      <c r="L1" s="10" t="s">
        <v>20</v>
      </c>
      <c r="M1" s="10" t="s">
        <v>21</v>
      </c>
      <c r="N1" s="10" t="s">
        <v>130</v>
      </c>
      <c r="O1" s="10" t="s">
        <v>131</v>
      </c>
      <c r="P1" s="10" t="s">
        <v>132</v>
      </c>
      <c r="Q1" s="10" t="s">
        <v>133</v>
      </c>
      <c r="R1" s="10" t="s">
        <v>22</v>
      </c>
      <c r="S1" s="10" t="s">
        <v>23</v>
      </c>
      <c r="T1" s="10" t="s">
        <v>24</v>
      </c>
      <c r="U1" s="10" t="s">
        <v>25</v>
      </c>
    </row>
    <row r="2" spans="1:22" x14ac:dyDescent="0.25">
      <c r="A2" t="s">
        <v>34</v>
      </c>
      <c r="B2" s="41">
        <v>13783001</v>
      </c>
      <c r="C2" t="s">
        <v>27</v>
      </c>
      <c r="L2" s="13">
        <v>46009</v>
      </c>
      <c r="M2" s="13">
        <v>46112</v>
      </c>
      <c r="N2" s="13">
        <v>46195</v>
      </c>
      <c r="O2" s="13">
        <v>46265</v>
      </c>
      <c r="P2" s="13"/>
      <c r="Q2" s="13"/>
      <c r="R2" s="13">
        <v>46174</v>
      </c>
      <c r="S2" s="13">
        <v>46174</v>
      </c>
      <c r="T2" s="13">
        <v>46204</v>
      </c>
      <c r="U2" s="13">
        <v>46568</v>
      </c>
      <c r="V2" t="s">
        <v>103</v>
      </c>
    </row>
    <row r="3" spans="1:22" x14ac:dyDescent="0.25">
      <c r="A3" t="s">
        <v>39</v>
      </c>
      <c r="B3" s="41">
        <v>11000000</v>
      </c>
      <c r="C3" t="s">
        <v>30</v>
      </c>
      <c r="L3" s="13">
        <v>46023</v>
      </c>
      <c r="M3" s="13">
        <v>46112</v>
      </c>
      <c r="N3" s="13">
        <v>46195</v>
      </c>
      <c r="O3" s="13">
        <v>46227</v>
      </c>
      <c r="P3" s="13"/>
      <c r="Q3" s="13"/>
      <c r="R3" s="13">
        <v>46235</v>
      </c>
      <c r="S3" s="13">
        <v>46295</v>
      </c>
      <c r="T3" s="13">
        <v>46296</v>
      </c>
      <c r="U3" s="13">
        <v>47391</v>
      </c>
      <c r="V3" t="s">
        <v>101</v>
      </c>
    </row>
    <row r="4" spans="1:22" x14ac:dyDescent="0.25">
      <c r="A4" t="s">
        <v>44</v>
      </c>
      <c r="C4" t="s">
        <v>27</v>
      </c>
      <c r="D4" s="13">
        <v>45881</v>
      </c>
      <c r="E4" s="13">
        <v>45912</v>
      </c>
      <c r="H4" s="13"/>
      <c r="I4" s="13"/>
      <c r="L4" s="13">
        <v>45913</v>
      </c>
      <c r="M4" s="13">
        <v>45952</v>
      </c>
      <c r="N4" s="13"/>
      <c r="O4" s="13"/>
      <c r="P4" s="13"/>
      <c r="Q4" s="13"/>
      <c r="R4" s="22"/>
      <c r="S4" s="22"/>
      <c r="T4" s="13">
        <v>46143</v>
      </c>
      <c r="U4" s="13"/>
      <c r="V4" t="s">
        <v>105</v>
      </c>
    </row>
    <row r="5" spans="1:22" x14ac:dyDescent="0.25">
      <c r="A5" t="s">
        <v>47</v>
      </c>
      <c r="C5" t="s">
        <v>27</v>
      </c>
      <c r="H5" s="13">
        <v>45909</v>
      </c>
      <c r="I5" s="13">
        <v>45996</v>
      </c>
      <c r="J5" s="13">
        <v>45997</v>
      </c>
      <c r="K5" s="13">
        <v>46112</v>
      </c>
      <c r="L5" s="13">
        <v>46113</v>
      </c>
      <c r="M5" s="13">
        <v>46157</v>
      </c>
      <c r="N5" s="13">
        <v>46204</v>
      </c>
      <c r="O5" s="13">
        <v>46265</v>
      </c>
      <c r="P5" s="13"/>
      <c r="Q5" s="13"/>
      <c r="R5" s="13">
        <v>46296</v>
      </c>
      <c r="S5" s="13">
        <v>46326</v>
      </c>
      <c r="T5" s="13"/>
      <c r="U5" s="13"/>
      <c r="V5" t="s">
        <v>107</v>
      </c>
    </row>
    <row r="6" spans="1:22" x14ac:dyDescent="0.25">
      <c r="A6" t="s">
        <v>51</v>
      </c>
      <c r="C6" t="s">
        <v>27</v>
      </c>
      <c r="D6" s="13">
        <v>45670</v>
      </c>
      <c r="E6" s="13">
        <v>45702</v>
      </c>
      <c r="L6" s="13">
        <v>45703</v>
      </c>
      <c r="M6" s="13">
        <v>45726</v>
      </c>
      <c r="N6" s="13"/>
      <c r="O6" s="13"/>
      <c r="P6" s="13"/>
      <c r="Q6" s="13"/>
      <c r="R6" s="13">
        <v>45931</v>
      </c>
      <c r="S6" s="13">
        <v>45961</v>
      </c>
      <c r="V6" t="s">
        <v>106</v>
      </c>
    </row>
    <row r="7" spans="1:22" x14ac:dyDescent="0.25">
      <c r="A7" t="s">
        <v>56</v>
      </c>
      <c r="B7" s="41">
        <v>6003000</v>
      </c>
      <c r="C7" t="s">
        <v>30</v>
      </c>
      <c r="L7" s="13">
        <v>45916</v>
      </c>
      <c r="M7" s="13">
        <v>46052</v>
      </c>
      <c r="N7" s="13">
        <v>46174</v>
      </c>
      <c r="O7" s="13">
        <v>46207</v>
      </c>
      <c r="P7" s="13"/>
      <c r="Q7" s="13"/>
      <c r="R7" s="13">
        <v>46265</v>
      </c>
      <c r="S7" s="13">
        <v>46265</v>
      </c>
      <c r="T7" s="13">
        <v>46266</v>
      </c>
      <c r="U7" s="13">
        <v>46328</v>
      </c>
    </row>
    <row r="8" spans="1:22" x14ac:dyDescent="0.25">
      <c r="A8" t="s">
        <v>60</v>
      </c>
      <c r="B8" s="41">
        <v>1805460</v>
      </c>
      <c r="C8" t="s">
        <v>30</v>
      </c>
      <c r="L8" s="13">
        <v>46204</v>
      </c>
      <c r="M8" s="13">
        <v>46249</v>
      </c>
      <c r="N8" s="13"/>
      <c r="O8" s="13"/>
      <c r="P8" s="13"/>
      <c r="Q8" s="13"/>
      <c r="R8" s="13">
        <v>46250</v>
      </c>
      <c r="S8" s="13">
        <v>46295</v>
      </c>
      <c r="T8" s="13">
        <v>46296</v>
      </c>
      <c r="U8" s="13">
        <v>46660</v>
      </c>
      <c r="V8" t="s">
        <v>102</v>
      </c>
    </row>
    <row r="9" spans="1:22" x14ac:dyDescent="0.25">
      <c r="A9" s="17" t="s">
        <v>64</v>
      </c>
      <c r="B9" s="42">
        <v>149875000</v>
      </c>
      <c r="C9" s="19" t="s">
        <v>108</v>
      </c>
      <c r="D9" s="19"/>
      <c r="E9" s="19"/>
      <c r="F9" s="19"/>
      <c r="G9" s="19"/>
      <c r="H9" s="19"/>
      <c r="I9" s="19"/>
      <c r="J9" s="19"/>
      <c r="K9" s="19"/>
      <c r="L9" s="19"/>
      <c r="M9" s="19"/>
      <c r="N9" s="19"/>
      <c r="O9" s="19"/>
      <c r="P9" s="19"/>
      <c r="Q9" s="19"/>
      <c r="R9" s="19"/>
      <c r="S9" s="19"/>
      <c r="T9" s="19"/>
      <c r="U9" s="19"/>
      <c r="V9" t="s">
        <v>77</v>
      </c>
    </row>
    <row r="10" spans="1:22" x14ac:dyDescent="0.25">
      <c r="A10" s="17" t="s">
        <v>68</v>
      </c>
      <c r="B10" s="42">
        <v>106494000</v>
      </c>
      <c r="C10" s="19" t="s">
        <v>108</v>
      </c>
      <c r="D10" s="19"/>
      <c r="E10" s="19"/>
      <c r="F10" s="19"/>
      <c r="G10" s="19"/>
      <c r="H10" s="19"/>
      <c r="I10" s="19"/>
      <c r="J10" s="19"/>
      <c r="K10" s="19"/>
      <c r="L10" s="19"/>
      <c r="M10" s="19"/>
      <c r="N10" s="19"/>
      <c r="O10" s="19"/>
      <c r="P10" s="19"/>
      <c r="Q10" s="19"/>
      <c r="R10" s="19"/>
      <c r="S10" s="19"/>
      <c r="T10" s="19"/>
      <c r="U10" s="19"/>
      <c r="V10" s="21" t="s">
        <v>76</v>
      </c>
    </row>
    <row r="11" spans="1:22" x14ac:dyDescent="0.25">
      <c r="A11" s="17" t="s">
        <v>72</v>
      </c>
      <c r="B11" s="42">
        <v>2288611</v>
      </c>
      <c r="C11" s="19" t="s">
        <v>26</v>
      </c>
      <c r="D11" s="19"/>
      <c r="E11" s="19"/>
      <c r="F11" s="19"/>
      <c r="G11" s="19"/>
      <c r="H11" s="19"/>
      <c r="I11" s="19"/>
      <c r="J11" s="19"/>
      <c r="K11" s="19"/>
      <c r="L11" s="36">
        <v>45672</v>
      </c>
      <c r="M11" s="36">
        <v>45751</v>
      </c>
      <c r="N11" s="36"/>
      <c r="O11" s="36"/>
      <c r="P11" s="36"/>
      <c r="Q11" s="36"/>
      <c r="R11" s="20"/>
      <c r="S11" s="20"/>
      <c r="T11" s="36">
        <v>45885</v>
      </c>
      <c r="U11" s="36">
        <v>48092</v>
      </c>
      <c r="V11" s="21"/>
    </row>
    <row r="12" spans="1:22" x14ac:dyDescent="0.25">
      <c r="A12" s="28" t="s">
        <v>78</v>
      </c>
      <c r="B12" s="43">
        <v>4735577</v>
      </c>
      <c r="C12" s="29" t="s">
        <v>30</v>
      </c>
      <c r="D12" s="30"/>
      <c r="E12" s="30"/>
      <c r="F12" s="30"/>
      <c r="G12" s="30"/>
      <c r="H12" s="30"/>
      <c r="I12" s="30"/>
      <c r="J12" s="30"/>
      <c r="K12" s="30"/>
      <c r="L12" s="30">
        <v>46143</v>
      </c>
      <c r="M12" s="30">
        <v>46173</v>
      </c>
      <c r="N12" s="30"/>
      <c r="O12" s="30"/>
      <c r="P12" s="30"/>
      <c r="Q12" s="30"/>
      <c r="R12" s="31">
        <v>46174</v>
      </c>
      <c r="S12" s="31">
        <v>46203</v>
      </c>
      <c r="T12" s="31">
        <v>46204</v>
      </c>
      <c r="U12" s="31">
        <v>46568</v>
      </c>
      <c r="V12" t="s">
        <v>102</v>
      </c>
    </row>
    <row r="13" spans="1:22" x14ac:dyDescent="0.25">
      <c r="A13" s="28" t="s">
        <v>79</v>
      </c>
      <c r="B13" s="43">
        <v>25927599</v>
      </c>
      <c r="C13" s="29" t="s">
        <v>109</v>
      </c>
      <c r="D13" s="28"/>
      <c r="E13" s="28"/>
      <c r="F13" s="28"/>
      <c r="G13" s="28"/>
      <c r="H13" s="28"/>
      <c r="I13" s="28"/>
      <c r="J13" s="28"/>
      <c r="K13" s="28"/>
      <c r="L13" s="30"/>
      <c r="M13" s="30"/>
      <c r="N13" s="30"/>
      <c r="O13" s="30"/>
      <c r="P13" s="30"/>
      <c r="Q13" s="30"/>
      <c r="R13" s="31"/>
      <c r="S13" s="31"/>
      <c r="T13" s="31">
        <v>44743</v>
      </c>
      <c r="U13" s="31">
        <v>47299</v>
      </c>
      <c r="V13" t="s">
        <v>104</v>
      </c>
    </row>
    <row r="14" spans="1:22" x14ac:dyDescent="0.25">
      <c r="A14" s="32" t="s">
        <v>80</v>
      </c>
      <c r="B14" s="44">
        <v>4839994</v>
      </c>
      <c r="C14" s="32" t="s">
        <v>30</v>
      </c>
      <c r="D14" s="33"/>
      <c r="E14" s="33"/>
      <c r="F14" s="33"/>
      <c r="G14" s="33"/>
      <c r="H14" s="33"/>
      <c r="I14" s="33"/>
      <c r="J14" s="33"/>
      <c r="K14" s="33"/>
      <c r="L14" s="35">
        <v>45931</v>
      </c>
      <c r="M14" s="35">
        <v>45976</v>
      </c>
      <c r="N14" s="35"/>
      <c r="O14" s="35"/>
      <c r="P14" s="35"/>
      <c r="Q14" s="35"/>
      <c r="R14" s="34">
        <v>45977</v>
      </c>
      <c r="S14" s="34">
        <v>45991</v>
      </c>
      <c r="T14" s="34">
        <v>45992</v>
      </c>
      <c r="U14" s="34">
        <v>46356</v>
      </c>
      <c r="V14" t="s">
        <v>102</v>
      </c>
    </row>
    <row r="15" spans="1:22" x14ac:dyDescent="0.25">
      <c r="A15" s="29" t="s">
        <v>81</v>
      </c>
      <c r="B15" s="45">
        <v>849715</v>
      </c>
      <c r="C15" s="28" t="s">
        <v>30</v>
      </c>
      <c r="D15" s="30"/>
      <c r="E15" s="30"/>
      <c r="F15" s="30"/>
      <c r="G15" s="30"/>
      <c r="H15" s="30"/>
      <c r="I15" s="30"/>
      <c r="J15" s="30"/>
      <c r="K15" s="30"/>
      <c r="L15" s="31">
        <v>46204</v>
      </c>
      <c r="M15" s="31">
        <v>46249</v>
      </c>
      <c r="N15" s="31"/>
      <c r="O15" s="31"/>
      <c r="P15" s="31"/>
      <c r="Q15" s="31"/>
      <c r="R15" s="31">
        <v>46250</v>
      </c>
      <c r="S15" s="31">
        <v>46295</v>
      </c>
      <c r="T15" s="31">
        <v>46296</v>
      </c>
      <c r="U15" s="31">
        <v>46660</v>
      </c>
      <c r="V15" t="s">
        <v>102</v>
      </c>
    </row>
    <row r="16" spans="1:22" x14ac:dyDescent="0.25">
      <c r="A16" s="33" t="s">
        <v>82</v>
      </c>
      <c r="B16" s="46">
        <v>6319536</v>
      </c>
      <c r="C16" s="33" t="s">
        <v>30</v>
      </c>
      <c r="D16" s="33"/>
      <c r="E16" s="33"/>
      <c r="F16" s="33"/>
      <c r="G16" s="33"/>
      <c r="H16" s="33"/>
      <c r="I16" s="33"/>
      <c r="J16" s="33"/>
      <c r="K16" s="33"/>
      <c r="L16" s="35">
        <v>45931</v>
      </c>
      <c r="M16" s="35">
        <v>45976</v>
      </c>
      <c r="N16" s="35"/>
      <c r="O16" s="35"/>
      <c r="P16" s="35"/>
      <c r="Q16" s="35"/>
      <c r="R16" s="35">
        <v>45977</v>
      </c>
      <c r="S16" s="35">
        <v>45991</v>
      </c>
      <c r="T16" s="35">
        <v>45992</v>
      </c>
      <c r="U16" s="35">
        <v>46356</v>
      </c>
      <c r="V16" t="s">
        <v>100</v>
      </c>
    </row>
    <row r="17" spans="1:21" x14ac:dyDescent="0.25">
      <c r="A17" s="33" t="s">
        <v>83</v>
      </c>
      <c r="B17" s="46">
        <v>8585325</v>
      </c>
      <c r="C17" s="33" t="s">
        <v>27</v>
      </c>
      <c r="D17" s="33"/>
      <c r="E17" s="33"/>
      <c r="F17" s="33"/>
      <c r="G17" s="33"/>
      <c r="H17" s="33"/>
      <c r="I17" s="33"/>
      <c r="J17" s="33"/>
      <c r="K17" s="33"/>
      <c r="L17" s="35">
        <v>45931</v>
      </c>
      <c r="M17" s="35">
        <v>45991</v>
      </c>
      <c r="N17" s="35"/>
      <c r="O17" s="35"/>
      <c r="P17" s="35"/>
      <c r="Q17" s="35"/>
      <c r="R17" s="35">
        <v>45992</v>
      </c>
      <c r="S17" s="35">
        <v>46022</v>
      </c>
      <c r="T17" s="35">
        <v>46023</v>
      </c>
      <c r="U17" s="35">
        <v>46387</v>
      </c>
    </row>
    <row r="18" spans="1:21" x14ac:dyDescent="0.25">
      <c r="A18" t="s">
        <v>44</v>
      </c>
      <c r="C18" t="s">
        <v>31</v>
      </c>
      <c r="D18" s="13">
        <v>46143</v>
      </c>
      <c r="E18" s="13">
        <v>46164</v>
      </c>
      <c r="L18" s="35">
        <v>46165</v>
      </c>
      <c r="M18" s="35">
        <v>46211</v>
      </c>
      <c r="N18" s="13">
        <v>46223</v>
      </c>
      <c r="O18" s="13">
        <v>46262</v>
      </c>
      <c r="P18" s="13">
        <v>46327</v>
      </c>
      <c r="Q18" s="13">
        <v>46387</v>
      </c>
      <c r="R18" s="13">
        <v>46388</v>
      </c>
      <c r="S18" s="13">
        <v>46418</v>
      </c>
    </row>
    <row r="19" spans="1:21" x14ac:dyDescent="0.25">
      <c r="A19" t="s">
        <v>51</v>
      </c>
      <c r="C19" t="s">
        <v>30</v>
      </c>
      <c r="H19" s="13">
        <v>46133</v>
      </c>
      <c r="I19" s="13">
        <v>46154</v>
      </c>
      <c r="J19" s="13"/>
      <c r="L19" s="13">
        <v>46157</v>
      </c>
      <c r="M19" s="13">
        <v>46188</v>
      </c>
      <c r="N19" s="13">
        <v>46195</v>
      </c>
      <c r="O19" s="13">
        <v>46220</v>
      </c>
      <c r="P19" s="13">
        <v>46266</v>
      </c>
      <c r="Q19" s="13">
        <v>46295</v>
      </c>
    </row>
  </sheetData>
  <autoFilter ref="A1:U2" xr:uid="{F72CD8AE-5E8B-4B10-9FA0-957FC49C37EB}"/>
  <dataValidations count="3">
    <dataValidation type="date" allowBlank="1" showInputMessage="1" showErrorMessage="1" sqref="D18:U1048576 D7:U8 D6:G6 J6:U6 D2:U4 H5:U5" xr:uid="{2C604349-75DA-4A9B-981D-CFFEA7044BAA}">
      <formula1>43831</formula1>
      <formula2>54789</formula2>
    </dataValidation>
    <dataValidation type="date" allowBlank="1" showErrorMessage="1" sqref="D9:U17" xr:uid="{48D5F982-4F97-4A6C-8602-1588E12F7F60}">
      <formula1>43831</formula1>
      <formula2>54789</formula2>
    </dataValidation>
    <dataValidation type="whole" allowBlank="1" showInputMessage="1" showErrorMessage="1" sqref="B2:B1048576" xr:uid="{23666401-2A2A-4109-85A7-736E5D4C5F95}">
      <formula1>0</formula1>
      <formula2>999999999</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B7F2BDA5-2793-41B2-ADAF-C046B2C5CB40}">
          <x14:formula1>
            <xm:f>Program!$A$2:$A$1048576</xm:f>
          </x14:formula1>
          <xm:sqref>A1</xm:sqref>
        </x14:dataValidation>
        <x14:dataValidation type="list" allowBlank="1" showInputMessage="1" showErrorMessage="1" xr:uid="{5410F1CF-FFB5-4E4B-8877-8EDB75A0805F}">
          <x14:formula1>
            <xm:f>Dropdowns!$C$2:$C$8</xm:f>
          </x14:formula1>
          <xm:sqref>C14:C1048576 C11:C12 C2:C8</xm:sqref>
        </x14:dataValidation>
        <x14:dataValidation type="list" allowBlank="1" showInputMessage="1" showErrorMessage="1" xr:uid="{89A47315-15C6-478C-8C35-E2E7C7D8DC83}">
          <x14:formula1>
            <xm:f>Program!$A$3:$A$1048576</xm:f>
          </x14:formula1>
          <xm:sqref>A2:A1048576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9EB0-8D18-4326-9C0D-FD5F26829B22}">
  <sheetPr codeName="Sheet4"/>
  <dimension ref="A1:E8"/>
  <sheetViews>
    <sheetView workbookViewId="0">
      <selection activeCell="E1" sqref="E1:E4"/>
    </sheetView>
  </sheetViews>
  <sheetFormatPr defaultRowHeight="15" x14ac:dyDescent="0.25"/>
  <cols>
    <col min="1" max="1" width="28.42578125" customWidth="1"/>
    <col min="5" max="5" width="36" bestFit="1" customWidth="1"/>
  </cols>
  <sheetData>
    <row r="1" spans="1:5" ht="30" x14ac:dyDescent="0.25">
      <c r="A1" s="1" t="s">
        <v>5</v>
      </c>
      <c r="C1" s="1" t="s">
        <v>15</v>
      </c>
      <c r="E1" s="37" t="s">
        <v>113</v>
      </c>
    </row>
    <row r="2" spans="1:5" x14ac:dyDescent="0.25">
      <c r="A2" t="s">
        <v>10</v>
      </c>
      <c r="C2" t="s">
        <v>26</v>
      </c>
      <c r="E2" t="s">
        <v>116</v>
      </c>
    </row>
    <row r="3" spans="1:5" x14ac:dyDescent="0.25">
      <c r="A3" t="s">
        <v>28</v>
      </c>
      <c r="C3" t="s">
        <v>27</v>
      </c>
      <c r="E3" t="s">
        <v>115</v>
      </c>
    </row>
    <row r="4" spans="1:5" x14ac:dyDescent="0.25">
      <c r="A4" t="s">
        <v>29</v>
      </c>
      <c r="C4" t="s">
        <v>30</v>
      </c>
      <c r="E4" t="s">
        <v>114</v>
      </c>
    </row>
    <row r="5" spans="1:5" x14ac:dyDescent="0.25">
      <c r="C5" t="s">
        <v>31</v>
      </c>
    </row>
    <row r="6" spans="1:5" x14ac:dyDescent="0.25">
      <c r="C6" t="s">
        <v>32</v>
      </c>
    </row>
    <row r="7" spans="1:5" x14ac:dyDescent="0.25">
      <c r="C7" t="s">
        <v>33</v>
      </c>
    </row>
    <row r="8" spans="1:5" x14ac:dyDescent="0.25">
      <c r="C8" t="s">
        <v>108</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F04E43F-9038-402C-9F00-632B26CDD718}">
  <ds:schemaRefs>
    <ds:schemaRef ds:uri="http://schemas.microsoft.com/sharepoint/v3/contenttype/forms"/>
  </ds:schemaRefs>
</ds:datastoreItem>
</file>

<file path=customXml/itemProps2.xml><?xml version="1.0" encoding="utf-8"?>
<ds:datastoreItem xmlns:ds="http://schemas.openxmlformats.org/officeDocument/2006/customXml" ds:itemID="{C2E4E8A2-4A8A-4AE3-8E7D-045661518EDA}"/>
</file>

<file path=customXml/itemProps3.xml><?xml version="1.0" encoding="utf-8"?>
<ds:datastoreItem xmlns:ds="http://schemas.openxmlformats.org/officeDocument/2006/customXml" ds:itemID="{45A0017E-F5AF-40FC-88BC-708E058B42EC}">
  <ds:schemaRefs>
    <ds:schemaRef ds:uri="http://purl.org/dc/elements/1.1/"/>
    <ds:schemaRef ds:uri="http://schemas.microsoft.com/office/2006/documentManagement/types"/>
    <ds:schemaRef ds:uri="http://www.w3.org/XML/1998/namespace"/>
    <ds:schemaRef ds:uri="http://purl.org/dc/terms/"/>
    <ds:schemaRef ds:uri="http://purl.org/dc/dcmitype/"/>
    <ds:schemaRef ds:uri="http://schemas.microsoft.com/office/infopath/2007/PartnerControls"/>
    <ds:schemaRef ds:uri="d2814a59-c80c-4595-9cc4-bd0260228439"/>
    <ds:schemaRef ds:uri="http://schemas.openxmlformats.org/package/2006/metadata/core-properties"/>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Forsgaard, Hilary</dc:creator>
  <cp:keywords/>
  <dc:description/>
  <cp:lastModifiedBy>Forsgaard, Hilary</cp:lastModifiedBy>
  <cp:revision/>
  <dcterms:created xsi:type="dcterms:W3CDTF">2025-10-01T19:18:28Z</dcterms:created>
  <dcterms:modified xsi:type="dcterms:W3CDTF">2026-06-24T20:16:57Z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