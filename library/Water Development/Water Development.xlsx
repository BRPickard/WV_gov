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04"/>
  <workbookPr/>
  <mc:AlternateContent xmlns:mc="http://schemas.openxmlformats.org/markup-compatibility/2006">
    <mc:Choice Requires="x15">
      <x15ac:absPath xmlns:x15ac="http://schemas.microsoft.com/office/spreadsheetml/2010/11/ac" url="C:\Users\GonguelaA\Downloads\OneDrive_2026-07-08\Data Updates\Water Development\"/>
    </mc:Choice>
  </mc:AlternateContent>
  <xr:revisionPtr revIDLastSave="42" documentId="13_ncr:1_{88721868-F29B-49FD-9CE7-5101D884952C}" xr6:coauthVersionLast="47" xr6:coauthVersionMax="47" xr10:uidLastSave="{C0812A9A-146A-4F78-BD91-C78668DBD49C}"/>
  <bookViews>
    <workbookView xWindow="-120" yWindow="-120" windowWidth="29040" windowHeight="15720" activeTab="1" xr2:uid="{CC30A0B8-19BA-4F86-A010-DEBB663FD781}"/>
  </bookViews>
  <sheets>
    <sheet name="Instructions" sheetId="1" r:id="rId1"/>
    <sheet name="Project Profiles" sheetId="4" r:id="rId2"/>
  </sheets>
  <externalReferences>
    <externalReference r:id="rId3"/>
  </externalReferences>
  <definedNames>
    <definedName name="Recipient_Types_List">[1]!Recipient_Types[Recipient Type]</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A3" i="4" l="1"/>
  <c r="AA4" i="4"/>
  <c r="AA5" i="4"/>
  <c r="AA6" i="4"/>
  <c r="AA7" i="4"/>
  <c r="AA8" i="4"/>
  <c r="AA9" i="4"/>
  <c r="AA10" i="4"/>
  <c r="AA11" i="4"/>
  <c r="AA12" i="4"/>
  <c r="AA13" i="4"/>
  <c r="AA14" i="4"/>
  <c r="AA15" i="4"/>
  <c r="AA16" i="4"/>
  <c r="AA17" i="4"/>
  <c r="AA18" i="4"/>
  <c r="AA19" i="4"/>
  <c r="AA20" i="4"/>
  <c r="AA21" i="4"/>
  <c r="AA22" i="4"/>
  <c r="AA23" i="4"/>
  <c r="AA24" i="4"/>
  <c r="AA25" i="4"/>
  <c r="AA26" i="4"/>
  <c r="AA27" i="4"/>
  <c r="AA28" i="4"/>
  <c r="AA29" i="4"/>
  <c r="AA30" i="4"/>
  <c r="AA2" i="4"/>
</calcChain>
</file>

<file path=xl/sharedStrings.xml><?xml version="1.0" encoding="utf-8"?>
<sst xmlns="http://schemas.openxmlformats.org/spreadsheetml/2006/main" count="1200" uniqueCount="333">
  <si>
    <t>Instructions</t>
  </si>
  <si>
    <t>Required?</t>
  </si>
  <si>
    <t>1.  On the "Project Profiles" worksheet, enter information for each project, with each project in its own row (and only one row per project).</t>
  </si>
  <si>
    <t>2.  Do not leave blank rows between projects.</t>
  </si>
  <si>
    <t>3.  Do not insert, delete, move, or rename columns.</t>
  </si>
  <si>
    <t>4.  For each project, populate the columns as follows:</t>
  </si>
  <si>
    <r>
      <t xml:space="preserve">A)  </t>
    </r>
    <r>
      <rPr>
        <b/>
        <sz val="11"/>
        <color theme="1"/>
        <rFont val="Aptos Narrow"/>
        <family val="2"/>
        <scheme val="minor"/>
      </rPr>
      <t>Project Name</t>
    </r>
    <r>
      <rPr>
        <sz val="11"/>
        <color theme="1"/>
        <rFont val="Aptos Narrow"/>
        <family val="2"/>
        <scheme val="minor"/>
      </rPr>
      <t xml:space="preserve"> -- Enter the project name.  Do not leave blank.</t>
    </r>
  </si>
  <si>
    <t>Yes</t>
  </si>
  <si>
    <r>
      <t xml:space="preserve">B)  </t>
    </r>
    <r>
      <rPr>
        <b/>
        <sz val="11"/>
        <color theme="1"/>
        <rFont val="Aptos Narrow"/>
        <family val="2"/>
        <scheme val="minor"/>
      </rPr>
      <t>Project Number</t>
    </r>
    <r>
      <rPr>
        <sz val="11"/>
        <color theme="1"/>
        <rFont val="Aptos Narrow"/>
        <family val="2"/>
        <scheme val="minor"/>
      </rPr>
      <t xml:space="preserve"> -- Enter the project number.  If available.</t>
    </r>
  </si>
  <si>
    <r>
      <t xml:space="preserve">C)  </t>
    </r>
    <r>
      <rPr>
        <b/>
        <sz val="11"/>
        <color theme="1"/>
        <rFont val="Aptos Narrow"/>
        <family val="2"/>
        <scheme val="minor"/>
      </rPr>
      <t>Project Description</t>
    </r>
    <r>
      <rPr>
        <sz val="11"/>
        <color theme="1"/>
        <rFont val="Aptos Narrow"/>
        <family val="2"/>
        <scheme val="minor"/>
      </rPr>
      <t xml:space="preserve"> -- Enter in a project description. What are the goals and purpose, what is occurring?</t>
    </r>
  </si>
  <si>
    <r>
      <t xml:space="preserve">D)  </t>
    </r>
    <r>
      <rPr>
        <b/>
        <sz val="11"/>
        <color theme="1"/>
        <rFont val="Aptos Narrow"/>
        <family val="2"/>
        <scheme val="minor"/>
      </rPr>
      <t>Agency</t>
    </r>
    <r>
      <rPr>
        <sz val="11"/>
        <color theme="1"/>
        <rFont val="Aptos Narrow"/>
        <family val="2"/>
        <scheme val="minor"/>
      </rPr>
      <t xml:space="preserve"> -- Please write the name of your agency (e.g. Energy, Broadband, Tourism, Economic Development, Workforce, Transportation, etc.)</t>
    </r>
  </si>
  <si>
    <r>
      <t xml:space="preserve">E) </t>
    </r>
    <r>
      <rPr>
        <b/>
        <sz val="11"/>
        <color theme="1"/>
        <rFont val="Aptos Narrow"/>
        <family val="2"/>
        <scheme val="minor"/>
      </rPr>
      <t>Agency's Office/Division</t>
    </r>
    <r>
      <rPr>
        <sz val="11"/>
        <color theme="1"/>
        <rFont val="Aptos Narrow"/>
        <family val="2"/>
        <scheme val="minor"/>
      </rPr>
      <t xml:space="preserve"> - Enter the Office/Division/Department within your agency that owns the project if applicable. For example, 
</t>
    </r>
    <r>
      <rPr>
        <u/>
        <sz val="11"/>
        <color theme="1"/>
        <rFont val="Aptos Narrow"/>
        <family val="2"/>
        <scheme val="minor"/>
      </rPr>
      <t>Transportation:</t>
    </r>
    <r>
      <rPr>
        <sz val="11"/>
        <color theme="1"/>
        <rFont val="Aptos Narrow"/>
        <family val="2"/>
        <scheme val="minor"/>
      </rPr>
      <t xml:space="preserve"> Planning, Programming, Highways
</t>
    </r>
    <r>
      <rPr>
        <u/>
        <sz val="11"/>
        <color theme="1"/>
        <rFont val="Aptos Narrow"/>
        <family val="2"/>
        <scheme val="minor"/>
      </rPr>
      <t>Economic Development:</t>
    </r>
    <r>
      <rPr>
        <sz val="11"/>
        <color theme="1"/>
        <rFont val="Aptos Narrow"/>
        <family val="2"/>
        <scheme val="minor"/>
      </rPr>
      <t xml:space="preserve"> Community Advancement and Development (CAD), Department of Natural Resources (DNR), Miners Health and Safety</t>
    </r>
  </si>
  <si>
    <t>Required when applicable</t>
  </si>
  <si>
    <r>
      <t xml:space="preserve">F)  </t>
    </r>
    <r>
      <rPr>
        <b/>
        <sz val="11"/>
        <color theme="1"/>
        <rFont val="Aptos Narrow"/>
        <family val="2"/>
        <scheme val="minor"/>
      </rPr>
      <t>Project Type</t>
    </r>
    <r>
      <rPr>
        <sz val="11"/>
        <color theme="1"/>
        <rFont val="Aptos Narrow"/>
        <family val="2"/>
        <scheme val="minor"/>
      </rPr>
      <t xml:space="preserve"> -- Please enter the type of project this is. For example, 
</t>
    </r>
    <r>
      <rPr>
        <u/>
        <sz val="11"/>
        <color theme="1"/>
        <rFont val="Aptos Narrow"/>
        <family val="2"/>
        <scheme val="minor"/>
      </rPr>
      <t>Water Development Authority:</t>
    </r>
    <r>
      <rPr>
        <sz val="11"/>
        <color theme="1"/>
        <rFont val="Aptos Narrow"/>
        <family val="2"/>
        <scheme val="minor"/>
      </rPr>
      <t xml:space="preserve"> Water, Wastewater, Stormwater. 
</t>
    </r>
    <r>
      <rPr>
        <u/>
        <sz val="11"/>
        <color theme="1"/>
        <rFont val="Aptos Narrow"/>
        <family val="2"/>
        <scheme val="minor"/>
      </rPr>
      <t>Transportation:</t>
    </r>
    <r>
      <rPr>
        <sz val="11"/>
        <color theme="1"/>
        <rFont val="Aptos Narrow"/>
        <family val="2"/>
        <scheme val="minor"/>
      </rPr>
      <t xml:space="preserve"> Highway, Pavement, Bridge, Culvert.
</t>
    </r>
    <r>
      <rPr>
        <u/>
        <sz val="11"/>
        <color theme="1"/>
        <rFont val="Aptos Narrow"/>
        <family val="2"/>
        <scheme val="minor"/>
      </rPr>
      <t>Economic Development:</t>
    </r>
    <r>
      <rPr>
        <sz val="11"/>
        <color theme="1"/>
        <rFont val="Aptos Narrow"/>
        <family val="2"/>
        <scheme val="minor"/>
      </rPr>
      <t xml:space="preserve"> Small Business Loan, Tax Credit.
</t>
    </r>
  </si>
  <si>
    <r>
      <t xml:space="preserve">G)  </t>
    </r>
    <r>
      <rPr>
        <b/>
        <sz val="11"/>
        <color theme="1"/>
        <rFont val="Aptos Narrow"/>
        <family val="2"/>
        <scheme val="minor"/>
      </rPr>
      <t>Project Status</t>
    </r>
    <r>
      <rPr>
        <sz val="11"/>
        <color theme="1"/>
        <rFont val="Aptos Narrow"/>
        <family val="2"/>
        <scheme val="minor"/>
      </rPr>
      <t xml:space="preserve"> -- Select a project status from the list below. If many of your projects have a different status, please let us know and we will add a new status to the pick list:
- Conceptual
- Pre-planning
- Planning
- Design
- Contracting/Procurement
- Construction
- Implementation
- Operational
- Completed
- Cancelled
- On Hold/Pause
- Delayed
- Monitoring/Evaluation
- Other</t>
    </r>
  </si>
  <si>
    <r>
      <t xml:space="preserve">H)   </t>
    </r>
    <r>
      <rPr>
        <b/>
        <sz val="11"/>
        <color theme="1"/>
        <rFont val="Aptos Narrow"/>
        <family val="2"/>
        <scheme val="minor"/>
      </rPr>
      <t xml:space="preserve">Project Status Notes </t>
    </r>
    <r>
      <rPr>
        <sz val="11"/>
        <color theme="1"/>
        <rFont val="Aptos Narrow"/>
        <family val="2"/>
        <scheme val="minor"/>
      </rPr>
      <t>-- Enter in any notes about the project status you'd like. Free text. For example,
"The project is currently in the planning phase and implementing x planning study. Expected to be completed by MM/DD/YYYY."</t>
    </r>
  </si>
  <si>
    <r>
      <t xml:space="preserve">I)   </t>
    </r>
    <r>
      <rPr>
        <b/>
        <sz val="11"/>
        <color theme="1"/>
        <rFont val="Aptos Narrow"/>
        <family val="2"/>
        <scheme val="minor"/>
      </rPr>
      <t xml:space="preserve">Requires Review? </t>
    </r>
    <r>
      <rPr>
        <sz val="11"/>
        <color theme="1"/>
        <rFont val="Aptos Narrow"/>
        <family val="2"/>
        <scheme val="minor"/>
      </rPr>
      <t xml:space="preserve">-- Indicate whether the project will require a formal review from the Governor's Office or another reviewing entity. Enter </t>
    </r>
    <r>
      <rPr>
        <b/>
        <u/>
        <sz val="11"/>
        <color theme="1"/>
        <rFont val="Aptos Narrow"/>
        <family val="2"/>
        <scheme val="minor"/>
      </rPr>
      <t>"Yes"</t>
    </r>
    <r>
      <rPr>
        <sz val="11"/>
        <color theme="1"/>
        <rFont val="Aptos Narrow"/>
        <family val="2"/>
        <scheme val="minor"/>
      </rPr>
      <t xml:space="preserve"> if the project requires or will require a formal review, approval, or oversight before proceeding. Enter </t>
    </r>
    <r>
      <rPr>
        <b/>
        <u/>
        <sz val="11"/>
        <color theme="1"/>
        <rFont val="Aptos Narrow"/>
        <family val="2"/>
        <scheme val="minor"/>
      </rPr>
      <t>"No"</t>
    </r>
    <r>
      <rPr>
        <sz val="11"/>
        <color theme="1"/>
        <rFont val="Aptos Narrow"/>
        <family val="2"/>
        <scheme val="minor"/>
      </rPr>
      <t xml:space="preserve"> if the project does not require a review and should be tracked within your agency's Project Portfolio. Projects marked </t>
    </r>
    <r>
      <rPr>
        <b/>
        <u/>
        <sz val="11"/>
        <color theme="1"/>
        <rFont val="Aptos Narrow"/>
        <family val="2"/>
        <scheme val="minor"/>
      </rPr>
      <t>"Yes"</t>
    </r>
    <r>
      <rPr>
        <sz val="11"/>
        <color theme="1"/>
        <rFont val="Aptos Narrow"/>
        <family val="2"/>
        <scheme val="minor"/>
      </rPr>
      <t xml:space="preserve"> will appear in the "Projects For Review" tab in your dashboard.</t>
    </r>
  </si>
  <si>
    <r>
      <t xml:space="preserve">J)  </t>
    </r>
    <r>
      <rPr>
        <b/>
        <sz val="11"/>
        <color theme="1"/>
        <rFont val="Aptos Narrow"/>
        <family val="2"/>
        <scheme val="minor"/>
      </rPr>
      <t>Start Date</t>
    </r>
    <r>
      <rPr>
        <sz val="11"/>
        <color theme="1"/>
        <rFont val="Aptos Narrow"/>
        <family val="2"/>
        <scheme val="minor"/>
      </rPr>
      <t xml:space="preserve"> -- MM/DD/YYYY, estimated start date of the project.</t>
    </r>
  </si>
  <si>
    <r>
      <t xml:space="preserve">K)  </t>
    </r>
    <r>
      <rPr>
        <b/>
        <sz val="11"/>
        <color theme="1"/>
        <rFont val="Aptos Narrow"/>
        <family val="2"/>
        <scheme val="minor"/>
      </rPr>
      <t>Estimated Completion Date</t>
    </r>
    <r>
      <rPr>
        <sz val="11"/>
        <color theme="1"/>
        <rFont val="Aptos Narrow"/>
        <family val="2"/>
        <scheme val="minor"/>
      </rPr>
      <t xml:space="preserve"> -- MM/DD/YYYY, estimated date or date of completion.</t>
    </r>
  </si>
  <si>
    <r>
      <t xml:space="preserve">L)  </t>
    </r>
    <r>
      <rPr>
        <b/>
        <sz val="11"/>
        <color theme="1"/>
        <rFont val="Aptos Narrow"/>
        <family val="2"/>
        <scheme val="minor"/>
      </rPr>
      <t>County</t>
    </r>
    <r>
      <rPr>
        <sz val="11"/>
        <color theme="1"/>
        <rFont val="Aptos Narrow"/>
        <family val="2"/>
        <scheme val="minor"/>
      </rPr>
      <t xml:space="preserve"> - Enter in the name of the county the project takes place in. Only enter in </t>
    </r>
    <r>
      <rPr>
        <b/>
        <u/>
        <sz val="11"/>
        <color theme="1"/>
        <rFont val="Aptos Narrow"/>
        <family val="2"/>
        <scheme val="minor"/>
      </rPr>
      <t>ONE</t>
    </r>
    <r>
      <rPr>
        <sz val="11"/>
        <color theme="1"/>
        <rFont val="Aptos Narrow"/>
        <family val="2"/>
        <scheme val="minor"/>
      </rPr>
      <t xml:space="preserve"> county in this column. If there are multiple counties, please put additional counties in column L.</t>
    </r>
  </si>
  <si>
    <t>Please get as granular with the location data as possible, starting with County &gt; City &gt; Latitude/Longitude. County works if nothing else is avaialable.</t>
  </si>
  <si>
    <r>
      <t xml:space="preserve">M) </t>
    </r>
    <r>
      <rPr>
        <b/>
        <sz val="11"/>
        <color theme="1"/>
        <rFont val="Aptos Narrow"/>
        <family val="2"/>
        <scheme val="minor"/>
      </rPr>
      <t>Other Counties</t>
    </r>
    <r>
      <rPr>
        <sz val="11"/>
        <color theme="1"/>
        <rFont val="Aptos Narrow"/>
        <family val="2"/>
        <scheme val="minor"/>
      </rPr>
      <t xml:space="preserve"> - Enter in additional counties if applicable. Separate counties with a comma if multiple. If it's the entire state, put "All".</t>
    </r>
  </si>
  <si>
    <r>
      <t xml:space="preserve">N) </t>
    </r>
    <r>
      <rPr>
        <b/>
        <sz val="11"/>
        <color theme="1"/>
        <rFont val="Aptos Narrow"/>
        <family val="2"/>
        <scheme val="minor"/>
      </rPr>
      <t>City</t>
    </r>
    <r>
      <rPr>
        <sz val="11"/>
        <color theme="1"/>
        <rFont val="Aptos Narrow"/>
        <family val="2"/>
        <scheme val="minor"/>
      </rPr>
      <t xml:space="preserve"> - Enter in the name of the city the project takes place in. Only enter in </t>
    </r>
    <r>
      <rPr>
        <b/>
        <u/>
        <sz val="11"/>
        <color theme="1"/>
        <rFont val="Aptos Narrow"/>
        <family val="2"/>
        <scheme val="minor"/>
      </rPr>
      <t>ONE</t>
    </r>
    <r>
      <rPr>
        <sz val="11"/>
        <color theme="1"/>
        <rFont val="Aptos Narrow"/>
        <family val="2"/>
        <scheme val="minor"/>
      </rPr>
      <t xml:space="preserve"> city in this column. If there are multiple cities, please put additional cities in column N. If you don't have city-level data and only have county-level data, leave blank.</t>
    </r>
  </si>
  <si>
    <r>
      <t xml:space="preserve">O) </t>
    </r>
    <r>
      <rPr>
        <b/>
        <sz val="11"/>
        <color theme="1"/>
        <rFont val="Aptos Narrow"/>
        <family val="2"/>
        <scheme val="minor"/>
      </rPr>
      <t>Other Cities</t>
    </r>
    <r>
      <rPr>
        <sz val="11"/>
        <color theme="1"/>
        <rFont val="Aptos Narrow"/>
        <family val="2"/>
        <scheme val="minor"/>
      </rPr>
      <t xml:space="preserve"> - Enter in additional cities if applicable. Separate cities with a comma if multiple. If it's the entire state, put "All".</t>
    </r>
  </si>
  <si>
    <r>
      <t xml:space="preserve">P)  </t>
    </r>
    <r>
      <rPr>
        <b/>
        <sz val="11"/>
        <color theme="1"/>
        <rFont val="Aptos Narrow"/>
        <family val="2"/>
        <scheme val="minor"/>
      </rPr>
      <t>District</t>
    </r>
    <r>
      <rPr>
        <sz val="11"/>
        <color theme="1"/>
        <rFont val="Aptos Narrow"/>
        <family val="2"/>
        <scheme val="minor"/>
      </rPr>
      <t xml:space="preserve"> - Enter in the number of the district the project takes place in. Only enter </t>
    </r>
    <r>
      <rPr>
        <b/>
        <u/>
        <sz val="11"/>
        <color theme="1"/>
        <rFont val="Aptos Narrow"/>
        <family val="2"/>
        <scheme val="minor"/>
      </rPr>
      <t>ONE</t>
    </r>
    <r>
      <rPr>
        <sz val="11"/>
        <color theme="1"/>
        <rFont val="Aptos Narrow"/>
        <family val="2"/>
        <scheme val="minor"/>
      </rPr>
      <t xml:space="preserve"> district in this column. If there are multiple districts, please put additional districts in column Q.</t>
    </r>
  </si>
  <si>
    <r>
      <t xml:space="preserve">Q)  </t>
    </r>
    <r>
      <rPr>
        <b/>
        <sz val="11"/>
        <color theme="1"/>
        <rFont val="Aptos Narrow"/>
        <family val="2"/>
        <scheme val="minor"/>
      </rPr>
      <t>Other Districts</t>
    </r>
    <r>
      <rPr>
        <sz val="11"/>
        <color theme="1"/>
        <rFont val="Aptos Narrow"/>
        <family val="2"/>
        <scheme val="minor"/>
      </rPr>
      <t xml:space="preserve"> - Enter in additional districts if applicable. Separate districts with a comma if multiple. If it's the entire state, put "All".</t>
    </r>
  </si>
  <si>
    <r>
      <t xml:space="preserve">R)  </t>
    </r>
    <r>
      <rPr>
        <b/>
        <sz val="11"/>
        <color theme="1"/>
        <rFont val="Aptos Narrow"/>
        <family val="2"/>
        <scheme val="minor"/>
      </rPr>
      <t>Latitude</t>
    </r>
    <r>
      <rPr>
        <sz val="11"/>
        <color theme="1"/>
        <rFont val="Aptos Narrow"/>
        <family val="2"/>
        <scheme val="minor"/>
      </rPr>
      <t xml:space="preserve"> - Enter in the latitude of the center of the project in decimal units. If your project doesn't have a location, leave empty.</t>
    </r>
  </si>
  <si>
    <r>
      <t xml:space="preserve">S)  </t>
    </r>
    <r>
      <rPr>
        <b/>
        <sz val="11"/>
        <color theme="1"/>
        <rFont val="Aptos Narrow"/>
        <family val="2"/>
        <scheme val="minor"/>
      </rPr>
      <t>Longitude</t>
    </r>
    <r>
      <rPr>
        <sz val="11"/>
        <color theme="1"/>
        <rFont val="Aptos Narrow"/>
        <family val="2"/>
        <scheme val="minor"/>
      </rPr>
      <t xml:space="preserve"> - Enter in the longitude of the center of the project in decimal units. If your project doesn't have a location, leave empty.</t>
    </r>
  </si>
  <si>
    <r>
      <t xml:space="preserve">T)  </t>
    </r>
    <r>
      <rPr>
        <b/>
        <sz val="11"/>
        <color theme="1"/>
        <rFont val="Aptos Narrow"/>
        <family val="2"/>
        <scheme val="minor"/>
      </rPr>
      <t>Project Financial Status</t>
    </r>
    <r>
      <rPr>
        <sz val="11"/>
        <color theme="1"/>
        <rFont val="Aptos Narrow"/>
        <family val="2"/>
        <scheme val="minor"/>
      </rPr>
      <t xml:space="preserve"> - Select a project financial status from the following list. If your projects have a different financial status, let us know and we'll update the list:
- Not Funded
- Funding Identified / In Progress
- Partially Funded
- Fully Funded 
- Funding Withdrawn 
- Financially Closed
- Completed
- Other</t>
    </r>
  </si>
  <si>
    <r>
      <t xml:space="preserve">U)  </t>
    </r>
    <r>
      <rPr>
        <b/>
        <sz val="11"/>
        <color theme="1"/>
        <rFont val="Aptos Narrow"/>
        <family val="2"/>
        <scheme val="minor"/>
      </rPr>
      <t>Financial Status Notes</t>
    </r>
    <r>
      <rPr>
        <sz val="11"/>
        <color theme="1"/>
        <rFont val="Aptos Narrow"/>
        <family val="2"/>
        <scheme val="minor"/>
      </rPr>
      <t xml:space="preserve"> - Enter in any notes about the financial status. Free text. For example, 
"The project is currently partially funded. It has received $x in state funding and is currently seeking additional state or federal funding in the amount of $x to fully fund the project. The project plans to submit an application for x federal grant in the fall."</t>
    </r>
  </si>
  <si>
    <r>
      <t xml:space="preserve">V)  </t>
    </r>
    <r>
      <rPr>
        <b/>
        <sz val="11"/>
        <color theme="1"/>
        <rFont val="Aptos Narrow"/>
        <family val="2"/>
        <scheme val="minor"/>
      </rPr>
      <t>Project Point of Contact</t>
    </r>
    <r>
      <rPr>
        <sz val="11"/>
        <color theme="1"/>
        <rFont val="Aptos Narrow"/>
        <family val="2"/>
        <scheme val="minor"/>
      </rPr>
      <t xml:space="preserve"> - Enter in the </t>
    </r>
    <r>
      <rPr>
        <b/>
        <u/>
        <sz val="11"/>
        <color theme="1"/>
        <rFont val="Aptos Narrow"/>
        <family val="2"/>
        <scheme val="minor"/>
      </rPr>
      <t>name</t>
    </r>
    <r>
      <rPr>
        <sz val="11"/>
        <color theme="1"/>
        <rFont val="Aptos Narrow"/>
        <family val="2"/>
        <scheme val="minor"/>
      </rPr>
      <t xml:space="preserve"> of the point of contact for the project (West Virginia State contact)</t>
    </r>
  </si>
  <si>
    <r>
      <t xml:space="preserve">W)  </t>
    </r>
    <r>
      <rPr>
        <b/>
        <sz val="11"/>
        <color theme="1"/>
        <rFont val="Aptos Narrow"/>
        <family val="2"/>
        <scheme val="minor"/>
      </rPr>
      <t>Project Point of Contact Title</t>
    </r>
    <r>
      <rPr>
        <sz val="11"/>
        <color theme="1"/>
        <rFont val="Aptos Narrow"/>
        <family val="2"/>
        <scheme val="minor"/>
      </rPr>
      <t xml:space="preserve"> - Enter in the title of the project point of contact.</t>
    </r>
  </si>
  <si>
    <r>
      <t xml:space="preserve">X)  </t>
    </r>
    <r>
      <rPr>
        <b/>
        <sz val="11"/>
        <color theme="1"/>
        <rFont val="Aptos Narrow"/>
        <family val="2"/>
        <scheme val="minor"/>
      </rPr>
      <t>Project Point of Contact Email</t>
    </r>
    <r>
      <rPr>
        <sz val="11"/>
        <color theme="1"/>
        <rFont val="Aptos Narrow"/>
        <family val="2"/>
        <scheme val="minor"/>
      </rPr>
      <t xml:space="preserve"> - Enter in the email of the project point of contact.</t>
    </r>
  </si>
  <si>
    <r>
      <t xml:space="preserve">Y)  </t>
    </r>
    <r>
      <rPr>
        <b/>
        <sz val="11"/>
        <color theme="1"/>
        <rFont val="Aptos Narrow"/>
        <family val="2"/>
        <scheme val="minor"/>
      </rPr>
      <t>Project Point of Contact Phone Number</t>
    </r>
    <r>
      <rPr>
        <sz val="11"/>
        <color theme="1"/>
        <rFont val="Aptos Narrow"/>
        <family val="2"/>
        <scheme val="minor"/>
      </rPr>
      <t xml:space="preserve"> - Enter in the phone number of the project point of contact.</t>
    </r>
  </si>
  <si>
    <r>
      <t xml:space="preserve">Z)  </t>
    </r>
    <r>
      <rPr>
        <b/>
        <sz val="11"/>
        <color theme="1"/>
        <rFont val="Aptos Narrow"/>
        <family val="2"/>
        <scheme val="minor"/>
      </rPr>
      <t>URL / Links</t>
    </r>
    <r>
      <rPr>
        <sz val="11"/>
        <color theme="1"/>
        <rFont val="Aptos Narrow"/>
        <family val="2"/>
        <scheme val="minor"/>
      </rPr>
      <t xml:space="preserve"> - Please enter in any URL which has project documents or details, such as a google drive or folder.</t>
    </r>
  </si>
  <si>
    <r>
      <t xml:space="preserve">AA)  </t>
    </r>
    <r>
      <rPr>
        <b/>
        <sz val="11"/>
        <color theme="1"/>
        <rFont val="Aptos Narrow"/>
        <family val="2"/>
        <scheme val="minor"/>
      </rPr>
      <t>Total Project Cost</t>
    </r>
    <r>
      <rPr>
        <sz val="11"/>
        <color theme="1"/>
        <rFont val="Aptos Narrow"/>
        <family val="2"/>
        <scheme val="minor"/>
      </rPr>
      <t xml:space="preserve"> - Enter in the total project cost, or estimated cost.</t>
    </r>
  </si>
  <si>
    <r>
      <t xml:space="preserve">AB)  </t>
    </r>
    <r>
      <rPr>
        <b/>
        <sz val="11"/>
        <color theme="1"/>
        <rFont val="Aptos Narrow"/>
        <family val="2"/>
        <scheme val="minor"/>
      </rPr>
      <t>Funding Source 1 - Name</t>
    </r>
    <r>
      <rPr>
        <sz val="11"/>
        <color theme="1"/>
        <rFont val="Aptos Narrow"/>
        <family val="2"/>
        <scheme val="minor"/>
      </rPr>
      <t xml:space="preserve"> - Enter in the name of the first funding source of the project.</t>
    </r>
  </si>
  <si>
    <r>
      <t xml:space="preserve">AC)  </t>
    </r>
    <r>
      <rPr>
        <b/>
        <sz val="11"/>
        <color theme="1"/>
        <rFont val="Aptos Narrow"/>
        <family val="2"/>
        <scheme val="minor"/>
      </rPr>
      <t>Funding Source 1 - Funding Type</t>
    </r>
    <r>
      <rPr>
        <sz val="11"/>
        <color theme="1"/>
        <rFont val="Aptos Narrow"/>
        <family val="2"/>
        <scheme val="minor"/>
      </rPr>
      <t xml:space="preserve"> - Enter in the instrument or type of funding provided (e.g., Grant, Loan, State Legislative Appropriation, Cooperative Agreement, Investment/Equity, Bond, Tax Credit, Private Investment, etc.)</t>
    </r>
  </si>
  <si>
    <r>
      <t xml:space="preserve">AD)  </t>
    </r>
    <r>
      <rPr>
        <b/>
        <sz val="11"/>
        <color theme="1"/>
        <rFont val="Aptos Narrow"/>
        <family val="2"/>
        <scheme val="minor"/>
      </rPr>
      <t>Funding Source 1 - Funding Origin</t>
    </r>
    <r>
      <rPr>
        <sz val="11"/>
        <color theme="1"/>
        <rFont val="Aptos Narrow"/>
        <family val="2"/>
        <scheme val="minor"/>
      </rPr>
      <t xml:space="preserve"> - Enter in the type of entity providing the funding, from the list below:
- Federal
- State
- Local
- Private
- Regional
- Non-Profit
- Other (list if other)</t>
    </r>
  </si>
  <si>
    <r>
      <t xml:space="preserve">AE)  </t>
    </r>
    <r>
      <rPr>
        <b/>
        <sz val="11"/>
        <color theme="1"/>
        <rFont val="Aptos Narrow"/>
        <family val="2"/>
        <scheme val="minor"/>
      </rPr>
      <t>Funding Source 1 - Total Amount</t>
    </r>
    <r>
      <rPr>
        <sz val="11"/>
        <color theme="1"/>
        <rFont val="Aptos Narrow"/>
        <family val="2"/>
        <scheme val="minor"/>
      </rPr>
      <t xml:space="preserve"> - Enter in the $ amount of the funding source.</t>
    </r>
  </si>
  <si>
    <r>
      <t xml:space="preserve">AF) </t>
    </r>
    <r>
      <rPr>
        <b/>
        <sz val="11"/>
        <color theme="1"/>
        <rFont val="Aptos Narrow"/>
        <family val="2"/>
        <scheme val="minor"/>
      </rPr>
      <t>Grant Category</t>
    </r>
    <r>
      <rPr>
        <sz val="11"/>
        <color theme="1"/>
        <rFont val="Aptos Narrow"/>
        <family val="2"/>
        <scheme val="minor"/>
      </rPr>
      <t xml:space="preserve"> - If the funding type is a grant, please indicate the grant category based on the original source of funds. If not a grant, leave blank:
- Direct Federal Grant
- Federal Pass-Through or Subaward
- State-Funded Grant
- Local Grant 
- Private / Non-Profit Grant
- Other</t>
    </r>
  </si>
  <si>
    <r>
      <t xml:space="preserve">AG)  </t>
    </r>
    <r>
      <rPr>
        <b/>
        <sz val="11"/>
        <color theme="1"/>
        <rFont val="Aptos Narrow"/>
        <family val="2"/>
        <scheme val="minor"/>
      </rPr>
      <t>Funding Source 1 - Funding Used</t>
    </r>
    <r>
      <rPr>
        <sz val="11"/>
        <color theme="1"/>
        <rFont val="Aptos Narrow"/>
        <family val="2"/>
        <scheme val="minor"/>
      </rPr>
      <t xml:space="preserve"> - Enter in the total amount of funding used from this funding source, to date.</t>
    </r>
  </si>
  <si>
    <r>
      <t xml:space="preserve">AH)  </t>
    </r>
    <r>
      <rPr>
        <b/>
        <sz val="11"/>
        <color theme="1"/>
        <rFont val="Aptos Narrow"/>
        <family val="2"/>
        <scheme val="minor"/>
      </rPr>
      <t>Funding Source 1 - Notes</t>
    </r>
    <r>
      <rPr>
        <sz val="11"/>
        <color theme="1"/>
        <rFont val="Aptos Narrow"/>
        <family val="2"/>
        <scheme val="minor"/>
      </rPr>
      <t xml:space="preserve"> - Enter in any notes about the funding source, such as descriptions, point of contacts, timelines, etc. Free text. For example, 
"This loan provided $1 million in funds for the project and must be repaid by 2030 at 5% interest."</t>
    </r>
  </si>
  <si>
    <r>
      <rPr>
        <sz val="11"/>
        <color rgb="FF000000"/>
        <rFont val="Aptos Narrow"/>
        <scheme val="minor"/>
      </rPr>
      <t xml:space="preserve">AI - ZZ)  </t>
    </r>
    <r>
      <rPr>
        <b/>
        <sz val="11"/>
        <color rgb="FF000000"/>
        <rFont val="Aptos Narrow"/>
        <scheme val="minor"/>
      </rPr>
      <t>Additional Funding Sources</t>
    </r>
    <r>
      <rPr>
        <sz val="11"/>
        <color rgb="FF000000"/>
        <rFont val="Aptos Narrow"/>
        <scheme val="minor"/>
      </rPr>
      <t xml:space="preserve"> - If there is more than one funding source, repeat columns AB - AH with the exact same headers, until you've listed all of the funding sources.</t>
    </r>
  </si>
  <si>
    <r>
      <rPr>
        <sz val="11"/>
        <color rgb="FF000000"/>
        <rFont val="Aptos Narrow"/>
        <scheme val="minor"/>
      </rPr>
      <t xml:space="preserve">CN)  </t>
    </r>
    <r>
      <rPr>
        <b/>
        <sz val="11"/>
        <color rgb="FF000000"/>
        <rFont val="Aptos Narrow"/>
        <scheme val="minor"/>
      </rPr>
      <t>Milestone</t>
    </r>
    <r>
      <rPr>
        <sz val="11"/>
        <color rgb="FF000000"/>
        <rFont val="Aptos Narrow"/>
        <scheme val="minor"/>
      </rPr>
      <t xml:space="preserve"> - Enter project milestone.</t>
    </r>
  </si>
  <si>
    <r>
      <rPr>
        <sz val="11"/>
        <color rgb="FF000000"/>
        <rFont val="Aptos Narrow"/>
        <scheme val="minor"/>
      </rPr>
      <t xml:space="preserve">CM)  </t>
    </r>
    <r>
      <rPr>
        <b/>
        <sz val="11"/>
        <color rgb="FF000000"/>
        <rFont val="Aptos Narrow"/>
        <scheme val="minor"/>
      </rPr>
      <t>Milestone Date</t>
    </r>
    <r>
      <rPr>
        <sz val="11"/>
        <color rgb="FF000000"/>
        <rFont val="Aptos Narrow"/>
        <scheme val="minor"/>
      </rPr>
      <t xml:space="preserve"> - Enter project milestone date. If there is more than one milestone, repeat columns CN - CM with the exact same headers, until you've listed all of the milestones.</t>
    </r>
  </si>
  <si>
    <r>
      <rPr>
        <sz val="11"/>
        <color rgb="FF000000"/>
        <rFont val="Aptos Narrow"/>
        <scheme val="minor"/>
      </rPr>
      <t xml:space="preserve">CS)  </t>
    </r>
    <r>
      <rPr>
        <b/>
        <sz val="11"/>
        <color rgb="FF000000"/>
        <rFont val="Aptos Narrow"/>
        <scheme val="minor"/>
      </rPr>
      <t xml:space="preserve">Sponsors </t>
    </r>
    <r>
      <rPr>
        <sz val="11"/>
        <color rgb="FF000000"/>
        <rFont val="Aptos Narrow"/>
        <scheme val="minor"/>
      </rPr>
      <t>- Enter project sponsor.</t>
    </r>
  </si>
  <si>
    <r>
      <rPr>
        <sz val="11"/>
        <color rgb="FF000000"/>
        <rFont val="Aptos Narrow"/>
        <scheme val="minor"/>
      </rPr>
      <t xml:space="preserve">CT) </t>
    </r>
    <r>
      <rPr>
        <b/>
        <sz val="11"/>
        <color rgb="FF000000"/>
        <rFont val="Aptos Narrow"/>
        <scheme val="minor"/>
      </rPr>
      <t xml:space="preserve"> New Served</t>
    </r>
    <r>
      <rPr>
        <sz val="11"/>
        <color rgb="FF000000"/>
        <rFont val="Aptos Narrow"/>
        <scheme val="minor"/>
      </rPr>
      <t xml:space="preserve"> - Enter the number of New Served or Number of Customers Served.</t>
    </r>
  </si>
  <si>
    <r>
      <rPr>
        <sz val="11"/>
        <color rgb="FF000000"/>
        <rFont val="Aptos Narrow"/>
        <scheme val="minor"/>
      </rPr>
      <t xml:space="preserve">CU)  </t>
    </r>
    <r>
      <rPr>
        <b/>
        <sz val="11"/>
        <color rgb="FF000000"/>
        <rFont val="Aptos Narrow"/>
        <scheme val="minor"/>
      </rPr>
      <t>Impacted by Stats</t>
    </r>
    <r>
      <rPr>
        <sz val="11"/>
        <color rgb="FF000000"/>
        <rFont val="Aptos Narrow"/>
        <scheme val="minor"/>
      </rPr>
      <t xml:space="preserve"> - Enter the number impacted by stats.</t>
    </r>
  </si>
  <si>
    <t>Project Name</t>
  </si>
  <si>
    <t xml:space="preserve">Project Number </t>
  </si>
  <si>
    <t>Project Description</t>
  </si>
  <si>
    <t>Agency</t>
  </si>
  <si>
    <t>Agency's Office/Division</t>
  </si>
  <si>
    <t>Project Type</t>
  </si>
  <si>
    <t>Project Status</t>
  </si>
  <si>
    <t>Project Status Notes</t>
  </si>
  <si>
    <t>Requires Review?</t>
  </si>
  <si>
    <t>Start Date</t>
  </si>
  <si>
    <t>Completion Date (estimated)</t>
  </si>
  <si>
    <t>County</t>
  </si>
  <si>
    <t>Other Counties</t>
  </si>
  <si>
    <t>City</t>
  </si>
  <si>
    <t>Other Cities</t>
  </si>
  <si>
    <t>District</t>
  </si>
  <si>
    <t>Other Districts</t>
  </si>
  <si>
    <t>Latitude</t>
  </si>
  <si>
    <t>Longitude</t>
  </si>
  <si>
    <t>Project Financial Status</t>
  </si>
  <si>
    <t>Financial Status Notes</t>
  </si>
  <si>
    <t>Project Point of Contact</t>
  </si>
  <si>
    <t>Project Point of Contact Title</t>
  </si>
  <si>
    <t>Project Point of Contact Email</t>
  </si>
  <si>
    <t>Project Point of Contact Phone Number</t>
  </si>
  <si>
    <t>URL / Links</t>
  </si>
  <si>
    <t>Total Project Cost</t>
  </si>
  <si>
    <t>Funding Source 1 -  Name</t>
  </si>
  <si>
    <t>Funding Source 1 - Funding Type</t>
  </si>
  <si>
    <t>Funding Source 1 - Funding Origin</t>
  </si>
  <si>
    <t>Funding Source 1 - Grant Category</t>
  </si>
  <si>
    <t>Funding Source 1 - Total Amount</t>
  </si>
  <si>
    <t>Funding Source 1 - Funding Used</t>
  </si>
  <si>
    <t>Funding Source 1 - Notes</t>
  </si>
  <si>
    <t>Funding Source 2 -  Name</t>
  </si>
  <si>
    <t>Funding Source 2 - Funding Type</t>
  </si>
  <si>
    <t>Funding Source 2 - Funding Origin</t>
  </si>
  <si>
    <t>Funding Source 2 - Grant Category</t>
  </si>
  <si>
    <t>Funding Source 2 - Total Amount</t>
  </si>
  <si>
    <t>Funding Source 2 - Funding Used</t>
  </si>
  <si>
    <t>Funding Source 2 - Notes</t>
  </si>
  <si>
    <t>Funding Source 3 -  Name</t>
  </si>
  <si>
    <t>Funding Source 3 - Funding Type</t>
  </si>
  <si>
    <t>Funding Source 3 - Funding Origin</t>
  </si>
  <si>
    <t>Funding Source 3 - Grant Category</t>
  </si>
  <si>
    <t>Funding Source 3 - Total Amount</t>
  </si>
  <si>
    <t>Funding Source 3 - Funding Used</t>
  </si>
  <si>
    <t>Funding Source 3 - Notes</t>
  </si>
  <si>
    <t>Funding Source 4 -  Name</t>
  </si>
  <si>
    <t>Funding Source 4 - Funding Type</t>
  </si>
  <si>
    <t>Funding Source 4 - Funding Origin</t>
  </si>
  <si>
    <t>Funding Source 4 - Grant Category</t>
  </si>
  <si>
    <t>Funding Source 4 - Total Amount</t>
  </si>
  <si>
    <t>Funding Source 4 - Funding Used</t>
  </si>
  <si>
    <t>Funding Source 4 - Notes</t>
  </si>
  <si>
    <t>Funding Source 5 -  Name</t>
  </si>
  <si>
    <t>Funding Source 5 - Funding Type</t>
  </si>
  <si>
    <t>Funding Source 5 - Funding Origin</t>
  </si>
  <si>
    <t>Funding Source 5 - Grant Category</t>
  </si>
  <si>
    <t>Funding Source 5 - Total Amount</t>
  </si>
  <si>
    <t>Funding Source 5 - Funding Used</t>
  </si>
  <si>
    <t>Funding Source 5 - Notes</t>
  </si>
  <si>
    <t>Funding Source 6 -  Name</t>
  </si>
  <si>
    <t>Funding Source 6 - Funding Type</t>
  </si>
  <si>
    <t>Funding Source 6 - Funding Origin</t>
  </si>
  <si>
    <t>Funding Source 6 - Grant Category</t>
  </si>
  <si>
    <t>Funding Source 6 - Total Amount</t>
  </si>
  <si>
    <t>Funding Source 6 - Funding Used</t>
  </si>
  <si>
    <t>Funding Source 6 - Notes</t>
  </si>
  <si>
    <t>Funding Source 7 -  Name</t>
  </si>
  <si>
    <t>Funding Source 7 - Funding Type</t>
  </si>
  <si>
    <t>Funding Source 7 - Funding Origin</t>
  </si>
  <si>
    <t>Funding Source 7 - Grant Category</t>
  </si>
  <si>
    <t>Funding Source 7 - Total Amount</t>
  </si>
  <si>
    <t>Funding Source 7 - Funding Used</t>
  </si>
  <si>
    <t>Funding Source 7 - Notes</t>
  </si>
  <si>
    <t>Funding Source 8 -  Name</t>
  </si>
  <si>
    <t>Funding Source 8 - Funding Type</t>
  </si>
  <si>
    <t>Funding Source 8 - Funding Origin</t>
  </si>
  <si>
    <t>Funding Source 8 - Grant Category</t>
  </si>
  <si>
    <t>Funding Source 8 - Total Amount</t>
  </si>
  <si>
    <t>Funding Source 8 - Funding Used</t>
  </si>
  <si>
    <t>Funding Source 8 - Notes</t>
  </si>
  <si>
    <t>Funding Source 9 -  Name</t>
  </si>
  <si>
    <t>Funding Source 9 - Funding Type</t>
  </si>
  <si>
    <t>Funding Source 9 - Funding Origin</t>
  </si>
  <si>
    <t>Funding Source 9 - Grant Category</t>
  </si>
  <si>
    <t>Funding Source 9 - Total Amount</t>
  </si>
  <si>
    <t>Funding Source 9 - Funding Used</t>
  </si>
  <si>
    <t>Funding Source 9 - Notes</t>
  </si>
  <si>
    <t>Repeat as necessary</t>
  </si>
  <si>
    <t>Milestone 1</t>
  </si>
  <si>
    <t>Milestone 1 - Date</t>
  </si>
  <si>
    <t>Milestone 2</t>
  </si>
  <si>
    <t>Milestone 2 - Date</t>
  </si>
  <si>
    <t>Sponsor</t>
  </si>
  <si>
    <t>New Served/Number of Customers Served</t>
  </si>
  <si>
    <t xml:space="preserve">Impacted by stats </t>
  </si>
  <si>
    <t>Bradshaw Sanitary Sewer Upgrade Project</t>
  </si>
  <si>
    <t>2018S-1742</t>
  </si>
  <si>
    <t>This project is for the upgrade of the Bradshaw Sanitary Sewer collection system and an upgrade to the Bradshaw sewer treatment plant.</t>
  </si>
  <si>
    <t>WDA-IJDC</t>
  </si>
  <si>
    <t>Sewer</t>
  </si>
  <si>
    <t>Construction</t>
  </si>
  <si>
    <t>Needed</t>
  </si>
  <si>
    <t>Mcdowell</t>
  </si>
  <si>
    <t>Financially Closed</t>
  </si>
  <si>
    <t>Wayne Morgan</t>
  </si>
  <si>
    <t>IJDC Executive Director</t>
  </si>
  <si>
    <t>wmorgan@wvwda.org</t>
  </si>
  <si>
    <t>304-414-6500</t>
  </si>
  <si>
    <t>wvinfrastructure.com</t>
  </si>
  <si>
    <t>IJDC</t>
  </si>
  <si>
    <t>State</t>
  </si>
  <si>
    <t>WDA</t>
  </si>
  <si>
    <t>CWSRF</t>
  </si>
  <si>
    <t>Federal</t>
  </si>
  <si>
    <t>DWTRF</t>
  </si>
  <si>
    <t>SCBG</t>
  </si>
  <si>
    <t>ARC</t>
  </si>
  <si>
    <t>AML</t>
  </si>
  <si>
    <t>USDA</t>
  </si>
  <si>
    <t>Local</t>
  </si>
  <si>
    <t>Binding Commitment</t>
  </si>
  <si>
    <t>2025-05-27T00:00:00</t>
  </si>
  <si>
    <t>Closing</t>
  </si>
  <si>
    <t>2025-03-31T00:00:00</t>
  </si>
  <si>
    <t>BRADSHAW, TOWN OF</t>
  </si>
  <si>
    <t>Norman Ridge, Big Root Run Road, and Bull River Road Water Ext.</t>
  </si>
  <si>
    <t>2018W-1746</t>
  </si>
  <si>
    <t>This project consists of the extension of public water service to approximately 77 households in Calhoun County.</t>
  </si>
  <si>
    <t>Water</t>
  </si>
  <si>
    <t>Contracting/Procurement</t>
  </si>
  <si>
    <t>Approved</t>
  </si>
  <si>
    <t>Calhoun</t>
  </si>
  <si>
    <t>Fully Funded</t>
  </si>
  <si>
    <t>PLEASANT HILL PSD</t>
  </si>
  <si>
    <t>Clay Municipal Water Storage Replacement Project</t>
  </si>
  <si>
    <t>2019W-1785</t>
  </si>
  <si>
    <t>To replace two water storage tanks that failed during cleaning in the summer of 2018. Both tanks were built in 1969. The middle ring of the larger tank has pitting and perforations and cannot be rehabilitated.</t>
  </si>
  <si>
    <t>Rejected</t>
  </si>
  <si>
    <t>Clay</t>
  </si>
  <si>
    <t>2025-09-23T00:00:00</t>
  </si>
  <si>
    <t>CLAY, TOWN OF</t>
  </si>
  <si>
    <t>Broomstraw/Mark Meador Road Waterline Extension</t>
  </si>
  <si>
    <t>2019W-1815</t>
  </si>
  <si>
    <t xml:space="preserve">To provide water service to the Broomstraw Road and Mark Meador Road areas of western Summers County.  Residents experience low water quantity and poor quality water issues in existing private wells.  In addition, many residents haul water, use cisterns, </t>
  </si>
  <si>
    <t xml:space="preserve">Summers </t>
  </si>
  <si>
    <t>2025-02-05T00:00:00</t>
  </si>
  <si>
    <t>JUMPING BRANCH NIMITZ PSD</t>
  </si>
  <si>
    <t>Wilderness PSD Water System Extension &amp; Upgrade</t>
  </si>
  <si>
    <t>2019W-1858</t>
  </si>
  <si>
    <t>Line upgrade &amp; extension</t>
  </si>
  <si>
    <t>Nicholas</t>
  </si>
  <si>
    <t>WILDERNESS PSD</t>
  </si>
  <si>
    <t>Union-Williams Sewer Upgrade Project</t>
  </si>
  <si>
    <t>2021S-1965</t>
  </si>
  <si>
    <t xml:space="preserve">UWPSD Wastewater Treatment Plant and collection system upgrades. </t>
  </si>
  <si>
    <t>Wood</t>
  </si>
  <si>
    <t>2025-06-17T00:00:00</t>
  </si>
  <si>
    <t>UNION WILLIAMS PSD</t>
  </si>
  <si>
    <t>Water System Improvements</t>
  </si>
  <si>
    <t>2021W-1953</t>
  </si>
  <si>
    <t>Water distribution system improvements</t>
  </si>
  <si>
    <t>Ritchie</t>
  </si>
  <si>
    <t>2025-08-06T00:00:00</t>
  </si>
  <si>
    <t>CAIRO, TOWN OF</t>
  </si>
  <si>
    <t>Grassy Creek Water Extension Phase I Project</t>
  </si>
  <si>
    <t>2021W-1957</t>
  </si>
  <si>
    <t xml:space="preserve">The Grassy Creek Water Extension Phase I Project is a 24,600 LF 8", 6â€ and 2â€ water line extension to serve approximately 35 families in the Grassy Creek, Orndoff Road, Warner Run Road and Millers Creek Road areas of Webster County.  </t>
  </si>
  <si>
    <t>Webster</t>
  </si>
  <si>
    <t>2025-06-30T00:00:00</t>
  </si>
  <si>
    <t>WEBSTER COUNTY EDA</t>
  </si>
  <si>
    <t>2021W-1998</t>
  </si>
  <si>
    <t xml:space="preserve">This project will replace existing water lines, valves, water meters, and fire hydrants throughout the Town's distribution system. </t>
  </si>
  <si>
    <t>Barbour</t>
  </si>
  <si>
    <t>2025-12-18T00:00:00</t>
  </si>
  <si>
    <t>JUNIOR, TOWN OF</t>
  </si>
  <si>
    <t>KCRDA Olcott Water Line Extension</t>
  </si>
  <si>
    <t>2021W-2044</t>
  </si>
  <si>
    <t xml:space="preserve">To provide the residents of Alum Creek / Olcott potable water through a public/private partnership with West Virginia American Water Company </t>
  </si>
  <si>
    <t>Kanawha</t>
  </si>
  <si>
    <t>KANAWHA COUNTY RDA</t>
  </si>
  <si>
    <t xml:space="preserve">Cameron Phase II Sewer System Improvements </t>
  </si>
  <si>
    <t>2022S-2073</t>
  </si>
  <si>
    <t>The Phase II Sewer System Improvements project consists of replacement or rehabilitation of existing sanitary sewer lines and separation of combined sewers along Maple Avenue (U.S. 250), Upton Street, Crawford Avenue, Fleming Avenue, and Main Street. This</t>
  </si>
  <si>
    <t>Marshall</t>
  </si>
  <si>
    <t>CAMERON, CITY OF</t>
  </si>
  <si>
    <t>Weston Phase II Sludge Dewatering Facility Project</t>
  </si>
  <si>
    <t>2022S-2158</t>
  </si>
  <si>
    <t xml:space="preserve">New state regulations regarding background minerals prohibit sludge from the Weston wastewater collection system from being land applied. Therefore, the Weston Sanitary Board must place their plants sludge in a local waste landfill. This project proposes </t>
  </si>
  <si>
    <t xml:space="preserve">Lewis </t>
  </si>
  <si>
    <t>2025-11-05T00:00:00</t>
  </si>
  <si>
    <t>WESTON SANITARY BOARD</t>
  </si>
  <si>
    <t>Sanitary Sewer System Improvements Phase III Project</t>
  </si>
  <si>
    <t>2023S-2367</t>
  </si>
  <si>
    <t>The scope of the proposed project is to make the necessary repairs to eight (8) pump stations that have reached the end of their life expectancy. The eight main pump stations that will receive major upgrades include, the Woods Run Pump Station, the Huntin</t>
  </si>
  <si>
    <t>Marion</t>
  </si>
  <si>
    <t>GREATER PAW PAW PSD</t>
  </si>
  <si>
    <t xml:space="preserve">Glen Rogers Sewer System Improvements </t>
  </si>
  <si>
    <t>2023S-2384</t>
  </si>
  <si>
    <t>To provide improved wastewater treatment and collection service to the Glen Rogers Community.</t>
  </si>
  <si>
    <t>Wyoming</t>
  </si>
  <si>
    <t>2025-03-05T00:00:00</t>
  </si>
  <si>
    <t>RAVENCLIFF MCGRAWS SAULSVILLE PSD</t>
  </si>
  <si>
    <t>EVPSD Disinfectant Upgrade Project</t>
  </si>
  <si>
    <t>2023S-2427</t>
  </si>
  <si>
    <t>EVPSD desires to modify both existing chlorine 
contact tanks to accommodate alternative means of disinfection, ending their utilization of chlorine for disinfection purposes and thus reducing the presence of chloroform and bromodichloromethane in the eff</t>
  </si>
  <si>
    <t>2025-11-20T00:00:00</t>
  </si>
  <si>
    <t>ELK VALLEY PSD</t>
  </si>
  <si>
    <t>Lubeck PSD Sewer / School Extension Project</t>
  </si>
  <si>
    <t>2024S-2606</t>
  </si>
  <si>
    <t>Installation of approximately 2,000 linear feet of 8â€ gravity sewer to extend service to the New Lubeck Elementary School along with other residential customers in the area.</t>
  </si>
  <si>
    <t>2025-10-02T00:00:00</t>
  </si>
  <si>
    <t>LUBECK PSD</t>
  </si>
  <si>
    <t>Ohio County PSD Critical Need Sewer Extension</t>
  </si>
  <si>
    <t>2024S-2641</t>
  </si>
  <si>
    <t>This Ohio County PSD sewer project will serve three (3) customers on Astor Drive in Clinton Hills. These households have failing on-site septic systems and the Ohio County Health Department has ordered them to abandon the septic systems and connect to the</t>
  </si>
  <si>
    <t>Ohio</t>
  </si>
  <si>
    <t>OHIO COUNTY PSD</t>
  </si>
  <si>
    <t>Town of Masontown Sanitary Sewer Extension and WWTP Upgrades Project</t>
  </si>
  <si>
    <t>2024S-2648</t>
  </si>
  <si>
    <t xml:space="preserve">This project includes the extension of sanitary sewer service to approximately 45 new customers on Pineview Drive, as well as upgrades to the WWTP to include a new septage receiving station, water piping replacements throughout the headworks, ventilation </t>
  </si>
  <si>
    <t>Preston</t>
  </si>
  <si>
    <t>MASONTOWN, TOWN OF</t>
  </si>
  <si>
    <t>Corridor H Water Extension</t>
  </si>
  <si>
    <t>2024W-2524</t>
  </si>
  <si>
    <t>This project will extend water service on US Rt. 33 East of Weston towards the Upshur County line to serve existing residential and commercial customers as well as anticipated industrial users once the line is in operation.  The main components of this pr</t>
  </si>
  <si>
    <t>LEWIS COUNTY EDA</t>
  </si>
  <si>
    <t xml:space="preserve">City of Thomas Existing Water Treatment Plant Improvements </t>
  </si>
  <si>
    <t>2024W-2612</t>
  </si>
  <si>
    <t xml:space="preserve">This project will install a pre-treatment system at the Thomas Water Treatment Plant to treat the high level of iron from its raw water source. </t>
  </si>
  <si>
    <t>Tucker</t>
  </si>
  <si>
    <t>2025-07-29T00:00:00</t>
  </si>
  <si>
    <t>2025-10-23T00:00:00</t>
  </si>
  <si>
    <t>THOMAS, CITY OF</t>
  </si>
  <si>
    <t>Indian Run Road</t>
  </si>
  <si>
    <t>2024W-2634</t>
  </si>
  <si>
    <t>Water service to approx 20 customers on Indian Run near Marshville with contaminated wells or wells gone dry.</t>
  </si>
  <si>
    <t>Harrison</t>
  </si>
  <si>
    <t>SUN VALLEY PSD</t>
  </si>
  <si>
    <t>Leadsville PSD Water System Improvement Project</t>
  </si>
  <si>
    <t>2024W-2645</t>
  </si>
  <si>
    <t>The Leadsville PSD plans to address a recent increase in water loss that they are experiencing by performing a comprehensive leak detection study. Any recommendations concluded by the study will be included in the proposed projectâ€™s scope of work. The p</t>
  </si>
  <si>
    <t>Randolph</t>
  </si>
  <si>
    <t>2025-05-22T00:00:00</t>
  </si>
  <si>
    <t>LEADSVILLE PSD</t>
  </si>
  <si>
    <t>McDowell County PSD - Bradshaw Sewer System Emergency Repairs - Vacuum Pump #1</t>
  </si>
  <si>
    <t>2025S-2682</t>
  </si>
  <si>
    <t>The PSD has recently entered into an O&amp;M contract with the Town of Bradshaw to operate the Town's failing sewer system. Bradshaw has agreed to turn the sewer system over to the PSD as soon as a fully grant funded sewer project is completed. However, the c</t>
  </si>
  <si>
    <t>2025-07-28T00:00:00</t>
  </si>
  <si>
    <t>MCDOWELL COUNTY PSD</t>
  </si>
  <si>
    <t>Sewer Line Replacement</t>
  </si>
  <si>
    <t>2025S-2701</t>
  </si>
  <si>
    <t>The Flatwoods Canoe Run Public Service District is seeking critical needs funding to address an urgent public health and infrastructure issue within its wastewater collection system. A section of the existing sewer line has collapsed, resulting in raw sew</t>
  </si>
  <si>
    <t xml:space="preserve">Braxton </t>
  </si>
  <si>
    <t>FLATWOODS CANOE RUN PSD</t>
  </si>
  <si>
    <t>Town of Mason - WWTP UV Unit Replacement</t>
  </si>
  <si>
    <t>2025S-2708</t>
  </si>
  <si>
    <t xml:space="preserve">This project will replace the UV unit at the WWTP and ensure compliance with the Town's permit. The existing unit has failed, and replacement parts are no longer available. </t>
  </si>
  <si>
    <t>Mason</t>
  </si>
  <si>
    <t>2025-10-30T00:00:00</t>
  </si>
  <si>
    <t>MASON, TOWN OF</t>
  </si>
  <si>
    <t>Century Volga WWTP Improvements Project</t>
  </si>
  <si>
    <t>2025S-2717</t>
  </si>
  <si>
    <t>Century Volga PSD operated its wastewater collection and treatment system that serves the area of Century in Barbour County for three and a half years without issue.  In October 2023, during their first sludge disposal, the sludge tested extremely high fo</t>
  </si>
  <si>
    <t>Planning</t>
  </si>
  <si>
    <t>Partially Funded</t>
  </si>
  <si>
    <t>CENTURY VOLGA PSD</t>
  </si>
  <si>
    <t>Franklin Water Improvement Phase 3</t>
  </si>
  <si>
    <t>2025W-2651</t>
  </si>
  <si>
    <t>Filter Repair The final, major work element that remains to be completed for the current water treatment plant upgrade is to refurbish the two (2) steel filter units. That work requires one of the two units to be taken out of service for several weeks for</t>
  </si>
  <si>
    <t>Pendleton</t>
  </si>
  <si>
    <t>2025-02-06T00:00:00</t>
  </si>
  <si>
    <t>FRANKLIN, TOWN OF</t>
  </si>
  <si>
    <t xml:space="preserve">Telemetry System Repair and Replacement </t>
  </si>
  <si>
    <t>2025W-2661</t>
  </si>
  <si>
    <t>Repair and replace critical components of the core telemetry and control system and associated components.</t>
  </si>
  <si>
    <t>Mingo</t>
  </si>
  <si>
    <t>2025-02-20T00:00:00</t>
  </si>
  <si>
    <t>MINGO COUNTY PSD</t>
  </si>
  <si>
    <t>Emergency Water Pumps Replacement</t>
  </si>
  <si>
    <t>2025W-2680</t>
  </si>
  <si>
    <t xml:space="preserve">Replace two raw water pumps that failed at the Naugatuck water treatment plant. The PSD is currently renting a temporary pump to provide sufficient water to the plant. An identical pump, along with discharge pipe and other appurtenances, has been quoted.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</si>
</sst>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Aptos Narrow"/>
      <family val="2"/>
      <scheme val="minor"/>
    </font>
    <font>
      <b/>
      <sz val="15"/>
      <color theme="3"/>
      <name val="Aptos Narrow"/>
      <family val="2"/>
      <scheme val="minor"/>
    </font>
    <font>
      <b/>
      <sz val="11"/>
      <color theme="1"/>
      <name val="Aptos Narrow"/>
      <family val="2"/>
      <scheme val="minor"/>
    </font>
    <font>
      <u/>
      <sz val="11"/>
      <color theme="1"/>
      <name val="Aptos Narrow"/>
      <family val="2"/>
      <scheme val="minor"/>
    </font>
    <font>
      <b/>
      <u/>
      <sz val="11"/>
      <color theme="1"/>
      <name val="Aptos Narrow"/>
      <family val="2"/>
      <scheme val="minor"/>
    </font>
    <font>
      <sz val="11"/>
      <color rgb="FFFF0000"/>
      <name val="Aptos Narrow"/>
      <family val="2"/>
      <scheme val="minor"/>
    </font>
    <font>
      <b/>
      <sz val="15"/>
      <color theme="1"/>
      <name val="Aptos Narrow"/>
      <family val="2"/>
      <scheme val="minor"/>
    </font>
    <font>
      <sz val="8"/>
      <name val="Aptos Narrow"/>
      <family val="2"/>
      <scheme val="minor"/>
    </font>
    <font>
      <sz val="11"/>
      <color rgb="FF000000"/>
      <name val="Aptos Narrow"/>
      <scheme val="minor"/>
    </font>
    <font>
      <b/>
      <sz val="11"/>
      <color rgb="FF000000"/>
      <name val="Aptos Narrow"/>
      <scheme val="minor"/>
    </font>
  </fonts>
  <fills count="4">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s>
  <borders count="7">
    <border>
      <left/>
      <right/>
      <top/>
      <bottom/>
      <diagonal/>
    </border>
    <border>
      <left/>
      <right/>
      <top/>
      <bottom style="thick">
        <color theme="4"/>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 fillId="0" borderId="1" applyNumberFormat="0" applyFill="0" applyAlignment="0" applyProtection="0"/>
  </cellStyleXfs>
  <cellXfs count="18">
    <xf numFmtId="0" fontId="0" fillId="0" borderId="0" xfId="0"/>
    <xf numFmtId="49" fontId="0" fillId="0" borderId="0" xfId="0" applyNumberFormat="1" applyAlignment="1">
      <alignment vertical="top" wrapText="1"/>
    </xf>
    <xf numFmtId="0" fontId="0" fillId="0" borderId="0" xfId="0" applyAlignment="1">
      <alignment vertical="top"/>
    </xf>
    <xf numFmtId="0" fontId="2" fillId="2" borderId="2" xfId="0" applyFont="1" applyFill="1" applyBorder="1" applyAlignment="1">
      <alignment horizontal="center"/>
    </xf>
    <xf numFmtId="0" fontId="2" fillId="2" borderId="3" xfId="0" applyFont="1" applyFill="1" applyBorder="1" applyAlignment="1">
      <alignment horizontal="center"/>
    </xf>
    <xf numFmtId="0" fontId="2" fillId="2" borderId="4" xfId="0" applyFont="1" applyFill="1" applyBorder="1" applyAlignment="1">
      <alignment horizontal="center"/>
    </xf>
    <xf numFmtId="0" fontId="6" fillId="0" borderId="0" xfId="0" applyFont="1" applyAlignment="1">
      <alignment horizontal="center" vertical="center"/>
    </xf>
    <xf numFmtId="49" fontId="1" fillId="0" borderId="0" xfId="1" applyNumberFormat="1" applyBorder="1" applyAlignment="1">
      <alignment wrapText="1"/>
    </xf>
    <xf numFmtId="0" fontId="0" fillId="0" borderId="0" xfId="0" applyAlignment="1">
      <alignment horizontal="center" vertical="center"/>
    </xf>
    <xf numFmtId="0" fontId="0" fillId="0" borderId="0" xfId="0" applyAlignment="1">
      <alignment wrapText="1"/>
    </xf>
    <xf numFmtId="0" fontId="2" fillId="2" borderId="4" xfId="0" applyFont="1" applyFill="1" applyBorder="1" applyAlignment="1">
      <alignment horizontal="center" wrapText="1"/>
    </xf>
    <xf numFmtId="0" fontId="2" fillId="3" borderId="5" xfId="0" applyFont="1" applyFill="1" applyBorder="1" applyAlignment="1">
      <alignment horizontal="center"/>
    </xf>
    <xf numFmtId="49" fontId="0" fillId="0" borderId="6" xfId="0" applyNumberFormat="1" applyBorder="1" applyAlignment="1">
      <alignment vertical="top" wrapText="1"/>
    </xf>
    <xf numFmtId="0" fontId="0" fillId="0" borderId="6" xfId="0" applyBorder="1" applyAlignment="1">
      <alignment horizontal="center" vertical="center"/>
    </xf>
    <xf numFmtId="49" fontId="0" fillId="0" borderId="6" xfId="0" quotePrefix="1" applyNumberFormat="1" applyBorder="1" applyAlignment="1">
      <alignment horizontal="left" vertical="top" wrapText="1" indent="1"/>
    </xf>
    <xf numFmtId="0" fontId="5" fillId="0" borderId="6" xfId="0" applyFont="1" applyBorder="1" applyAlignment="1">
      <alignment horizontal="center" vertical="center"/>
    </xf>
    <xf numFmtId="0" fontId="5" fillId="0" borderId="6" xfId="0" applyFont="1" applyBorder="1" applyAlignment="1">
      <alignment horizontal="center" vertical="center" wrapText="1"/>
    </xf>
    <xf numFmtId="49" fontId="8" fillId="0" borderId="6" xfId="0" quotePrefix="1" applyNumberFormat="1" applyFont="1" applyBorder="1" applyAlignment="1">
      <alignment horizontal="left" vertical="top" wrapText="1" indent="1"/>
    </xf>
  </cellXfs>
  <cellStyles count="2">
    <cellStyle name="Heading 1" xfId="1" builtinId="1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MooreC\Documents\Fund%20Navigator\Fund%20Navigator%20Project%20Template.xlsx" TargetMode="External"/><Relationship Id="rId1" Type="http://schemas.openxmlformats.org/officeDocument/2006/relationships/externalLinkPath" Target="https://aecom-my.sharepoint.com/Users/MooreC/Documents/Fund%20Navigator/Fund%20Navigator%20Project%20Templat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structions"/>
      <sheetName val="Project Profiles"/>
      <sheetName val="Recipient Types"/>
      <sheetName val="Fund Navigator Project Template"/>
    </sheetNames>
    <sheetDataSet>
      <sheetData sheetId="0" refreshError="1"/>
      <sheetData sheetId="1" refreshError="1"/>
      <sheetData sheetId="2"/>
      <sheetData sheetId="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7265B1-C119-49BD-8CE3-26E27A54195C}">
  <dimension ref="A1:B45"/>
  <sheetViews>
    <sheetView zoomScaleNormal="100" workbookViewId="0">
      <pane ySplit="1" topLeftCell="A2" activePane="bottomLeft" state="frozen"/>
      <selection pane="bottomLeft" activeCell="E11" sqref="E11"/>
    </sheetView>
  </sheetViews>
  <sheetFormatPr defaultColWidth="9.140625" defaultRowHeight="15"/>
  <cols>
    <col min="1" max="1" width="100.7109375" style="1" customWidth="1"/>
    <col min="2" max="2" width="23.5703125" style="8" customWidth="1"/>
    <col min="3" max="16384" width="9.140625" style="2"/>
  </cols>
  <sheetData>
    <row r="1" spans="1:2" customFormat="1" ht="19.5">
      <c r="A1" s="7" t="s">
        <v>0</v>
      </c>
      <c r="B1" s="6" t="s">
        <v>1</v>
      </c>
    </row>
    <row r="2" spans="1:2" ht="29.25">
      <c r="A2" s="12" t="s">
        <v>2</v>
      </c>
      <c r="B2" s="13"/>
    </row>
    <row r="3" spans="1:2">
      <c r="A3" s="12" t="s">
        <v>3</v>
      </c>
      <c r="B3" s="13"/>
    </row>
    <row r="4" spans="1:2">
      <c r="A4" s="12" t="s">
        <v>4</v>
      </c>
      <c r="B4" s="13"/>
    </row>
    <row r="5" spans="1:2">
      <c r="A5" s="12" t="s">
        <v>5</v>
      </c>
      <c r="B5" s="13"/>
    </row>
    <row r="6" spans="1:2">
      <c r="A6" s="14" t="s">
        <v>6</v>
      </c>
      <c r="B6" s="15" t="s">
        <v>7</v>
      </c>
    </row>
    <row r="7" spans="1:2">
      <c r="A7" s="14" t="s">
        <v>8</v>
      </c>
      <c r="B7" s="13"/>
    </row>
    <row r="8" spans="1:2">
      <c r="A8" s="14" t="s">
        <v>9</v>
      </c>
      <c r="B8" s="15" t="s">
        <v>7</v>
      </c>
    </row>
    <row r="9" spans="1:2" ht="29.25">
      <c r="A9" s="14" t="s">
        <v>10</v>
      </c>
      <c r="B9" s="15" t="s">
        <v>7</v>
      </c>
    </row>
    <row r="10" spans="1:2" ht="86.45" customHeight="1">
      <c r="A10" s="14" t="s">
        <v>11</v>
      </c>
      <c r="B10" s="15" t="s">
        <v>12</v>
      </c>
    </row>
    <row r="11" spans="1:2" ht="75.599999999999994" customHeight="1">
      <c r="A11" s="14" t="s">
        <v>13</v>
      </c>
      <c r="B11" s="15" t="s">
        <v>12</v>
      </c>
    </row>
    <row r="12" spans="1:2" ht="240.6" customHeight="1">
      <c r="A12" s="14" t="s">
        <v>14</v>
      </c>
      <c r="B12" s="15" t="s">
        <v>12</v>
      </c>
    </row>
    <row r="13" spans="1:2" ht="90.6" customHeight="1">
      <c r="A13" s="14" t="s">
        <v>15</v>
      </c>
      <c r="B13" s="13"/>
    </row>
    <row r="14" spans="1:2" ht="90.6" customHeight="1">
      <c r="A14" s="14" t="s">
        <v>16</v>
      </c>
      <c r="B14" s="15" t="s">
        <v>7</v>
      </c>
    </row>
    <row r="15" spans="1:2">
      <c r="A15" s="14" t="s">
        <v>17</v>
      </c>
      <c r="B15" s="15" t="s">
        <v>12</v>
      </c>
    </row>
    <row r="16" spans="1:2">
      <c r="A16" s="14" t="s">
        <v>18</v>
      </c>
      <c r="B16" s="15" t="s">
        <v>12</v>
      </c>
    </row>
    <row r="17" spans="1:2" ht="99" customHeight="1">
      <c r="A17" s="14" t="s">
        <v>19</v>
      </c>
      <c r="B17" s="16" t="s">
        <v>20</v>
      </c>
    </row>
    <row r="18" spans="1:2" ht="35.1" customHeight="1">
      <c r="A18" s="14" t="s">
        <v>21</v>
      </c>
      <c r="B18" s="13"/>
    </row>
    <row r="19" spans="1:2" ht="48" customHeight="1">
      <c r="A19" s="14" t="s">
        <v>22</v>
      </c>
      <c r="B19" s="15" t="s">
        <v>12</v>
      </c>
    </row>
    <row r="20" spans="1:2" ht="29.25">
      <c r="A20" s="14" t="s">
        <v>23</v>
      </c>
      <c r="B20" s="13"/>
    </row>
    <row r="21" spans="1:2" ht="29.25">
      <c r="A21" s="14" t="s">
        <v>24</v>
      </c>
      <c r="B21" s="15" t="s">
        <v>12</v>
      </c>
    </row>
    <row r="22" spans="1:2" ht="29.25">
      <c r="A22" s="14" t="s">
        <v>25</v>
      </c>
      <c r="B22" s="13"/>
    </row>
    <row r="23" spans="1:2" ht="29.25">
      <c r="A23" s="14" t="s">
        <v>26</v>
      </c>
      <c r="B23" s="15" t="s">
        <v>12</v>
      </c>
    </row>
    <row r="24" spans="1:2" ht="29.25">
      <c r="A24" s="14" t="s">
        <v>27</v>
      </c>
      <c r="B24" s="15" t="s">
        <v>12</v>
      </c>
    </row>
    <row r="25" spans="1:2" ht="144.75">
      <c r="A25" s="14" t="s">
        <v>28</v>
      </c>
      <c r="B25" s="15" t="s">
        <v>12</v>
      </c>
    </row>
    <row r="26" spans="1:2" ht="57.75">
      <c r="A26" s="14" t="s">
        <v>29</v>
      </c>
      <c r="B26" s="13"/>
    </row>
    <row r="27" spans="1:2" ht="21.6" customHeight="1">
      <c r="A27" s="14" t="s">
        <v>30</v>
      </c>
      <c r="B27" s="15" t="s">
        <v>12</v>
      </c>
    </row>
    <row r="28" spans="1:2">
      <c r="A28" s="14" t="s">
        <v>31</v>
      </c>
      <c r="B28" s="15" t="s">
        <v>12</v>
      </c>
    </row>
    <row r="29" spans="1:2">
      <c r="A29" s="14" t="s">
        <v>32</v>
      </c>
      <c r="B29" s="15" t="s">
        <v>12</v>
      </c>
    </row>
    <row r="30" spans="1:2">
      <c r="A30" s="14" t="s">
        <v>33</v>
      </c>
      <c r="B30" s="15" t="s">
        <v>12</v>
      </c>
    </row>
    <row r="31" spans="1:2">
      <c r="A31" s="14" t="s">
        <v>34</v>
      </c>
      <c r="B31" s="13"/>
    </row>
    <row r="32" spans="1:2">
      <c r="A32" s="14" t="s">
        <v>35</v>
      </c>
      <c r="B32" s="15" t="s">
        <v>7</v>
      </c>
    </row>
    <row r="33" spans="1:2">
      <c r="A33" s="14" t="s">
        <v>36</v>
      </c>
      <c r="B33" s="15" t="s">
        <v>12</v>
      </c>
    </row>
    <row r="34" spans="1:2" ht="29.25">
      <c r="A34" s="14" t="s">
        <v>37</v>
      </c>
      <c r="B34" s="15" t="s">
        <v>12</v>
      </c>
    </row>
    <row r="35" spans="1:2" ht="115.5">
      <c r="A35" s="14" t="s">
        <v>38</v>
      </c>
      <c r="B35" s="15" t="s">
        <v>12</v>
      </c>
    </row>
    <row r="36" spans="1:2">
      <c r="A36" s="14" t="s">
        <v>39</v>
      </c>
      <c r="B36" s="15" t="s">
        <v>12</v>
      </c>
    </row>
    <row r="37" spans="1:2" ht="120.6" customHeight="1">
      <c r="A37" s="14" t="s">
        <v>40</v>
      </c>
      <c r="B37" s="15" t="s">
        <v>12</v>
      </c>
    </row>
    <row r="38" spans="1:2">
      <c r="A38" s="14" t="s">
        <v>41</v>
      </c>
      <c r="B38" s="15" t="s">
        <v>12</v>
      </c>
    </row>
    <row r="39" spans="1:2" ht="43.5">
      <c r="A39" s="14" t="s">
        <v>42</v>
      </c>
      <c r="B39" s="13"/>
    </row>
    <row r="40" spans="1:2" ht="29.25">
      <c r="A40" s="17" t="s">
        <v>43</v>
      </c>
      <c r="B40" s="15" t="s">
        <v>12</v>
      </c>
    </row>
    <row r="41" spans="1:2">
      <c r="A41" s="17" t="s">
        <v>44</v>
      </c>
      <c r="B41" s="15" t="s">
        <v>12</v>
      </c>
    </row>
    <row r="42" spans="1:2" ht="29.25">
      <c r="A42" s="17" t="s">
        <v>45</v>
      </c>
      <c r="B42" s="15" t="s">
        <v>12</v>
      </c>
    </row>
    <row r="43" spans="1:2">
      <c r="A43" s="17" t="s">
        <v>46</v>
      </c>
      <c r="B43" s="15" t="s">
        <v>12</v>
      </c>
    </row>
    <row r="44" spans="1:2">
      <c r="A44" s="17" t="s">
        <v>47</v>
      </c>
      <c r="B44" s="15" t="s">
        <v>12</v>
      </c>
    </row>
    <row r="45" spans="1:2">
      <c r="A45" s="17" t="s">
        <v>48</v>
      </c>
      <c r="B45" s="15" t="s">
        <v>12</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5E0FF7-8902-42D2-A6C2-B7AA20CE66BA}">
  <dimension ref="A1:CU30"/>
  <sheetViews>
    <sheetView tabSelected="1" topLeftCell="Z1" zoomScaleNormal="100" workbookViewId="0">
      <selection activeCell="AA3" sqref="AA3"/>
    </sheetView>
  </sheetViews>
  <sheetFormatPr defaultRowHeight="15"/>
  <cols>
    <col min="1" max="1" width="75" bestFit="1" customWidth="1"/>
    <col min="2" max="2" width="23.42578125" customWidth="1"/>
    <col min="3" max="3" width="42.85546875" style="9" customWidth="1"/>
    <col min="4" max="4" width="20.42578125" customWidth="1"/>
    <col min="5" max="5" width="30.140625" customWidth="1"/>
    <col min="6" max="6" width="26.5703125" customWidth="1"/>
    <col min="7" max="9" width="30" customWidth="1"/>
    <col min="10" max="10" width="19.140625" customWidth="1"/>
    <col min="11" max="11" width="27.28515625" customWidth="1"/>
    <col min="12" max="21" width="25.7109375" customWidth="1"/>
    <col min="22" max="24" width="29.85546875" customWidth="1"/>
    <col min="25" max="26" width="37.7109375" customWidth="1"/>
    <col min="27" max="27" width="30.140625" customWidth="1"/>
    <col min="28" max="28" width="23.7109375" customWidth="1"/>
    <col min="29" max="30" width="32.5703125" customWidth="1"/>
    <col min="31" max="31" width="30.140625" customWidth="1"/>
    <col min="32" max="34" width="29" customWidth="1"/>
    <col min="35" max="35" width="33.5703125" customWidth="1"/>
    <col min="36" max="36" width="37.42578125" customWidth="1"/>
    <col min="37" max="37" width="32.140625" customWidth="1"/>
    <col min="38" max="38" width="39.28515625" customWidth="1"/>
    <col min="39" max="39" width="38.5703125" customWidth="1"/>
    <col min="40" max="40" width="45.5703125" customWidth="1"/>
    <col min="41" max="41" width="32.5703125" customWidth="1"/>
    <col min="42" max="42" width="41.7109375" customWidth="1"/>
    <col min="43" max="43" width="32.5703125" customWidth="1"/>
    <col min="44" max="44" width="33.85546875" customWidth="1"/>
    <col min="45" max="45" width="36.140625" customWidth="1"/>
    <col min="46" max="46" width="31.85546875" customWidth="1"/>
    <col min="47" max="47" width="35.42578125" customWidth="1"/>
    <col min="48" max="48" width="28.42578125" customWidth="1"/>
    <col min="49" max="49" width="26.28515625" customWidth="1"/>
    <col min="50" max="50" width="29" bestFit="1" customWidth="1"/>
    <col min="51" max="51" width="30.140625" bestFit="1" customWidth="1"/>
    <col min="52" max="52" width="30.5703125" bestFit="1" customWidth="1"/>
    <col min="53" max="53" width="29" bestFit="1" customWidth="1"/>
    <col min="54" max="54" width="29.28515625" bestFit="1" customWidth="1"/>
    <col min="55" max="55" width="22.5703125" bestFit="1" customWidth="1"/>
    <col min="56" max="56" width="22.85546875" bestFit="1" customWidth="1"/>
    <col min="57" max="57" width="29" bestFit="1" customWidth="1"/>
    <col min="58" max="58" width="30.140625" bestFit="1" customWidth="1"/>
    <col min="59" max="59" width="30.5703125" bestFit="1" customWidth="1"/>
    <col min="60" max="60" width="29" bestFit="1" customWidth="1"/>
    <col min="61" max="61" width="29.28515625" bestFit="1" customWidth="1"/>
    <col min="62" max="62" width="22.5703125" bestFit="1" customWidth="1"/>
    <col min="63" max="63" width="22.85546875" bestFit="1" customWidth="1"/>
    <col min="64" max="64" width="29" bestFit="1" customWidth="1"/>
    <col min="65" max="65" width="30.140625" bestFit="1" customWidth="1"/>
    <col min="66" max="66" width="30.5703125" bestFit="1" customWidth="1"/>
    <col min="67" max="67" width="29" bestFit="1" customWidth="1"/>
    <col min="68" max="68" width="29.28515625" bestFit="1" customWidth="1"/>
    <col min="69" max="69" width="22.5703125" bestFit="1" customWidth="1"/>
    <col min="70" max="70" width="22.85546875" bestFit="1" customWidth="1"/>
    <col min="71" max="71" width="29" bestFit="1" customWidth="1"/>
    <col min="72" max="72" width="30.140625" bestFit="1" customWidth="1"/>
    <col min="73" max="73" width="30.5703125" bestFit="1" customWidth="1"/>
    <col min="74" max="74" width="29" bestFit="1" customWidth="1"/>
    <col min="75" max="75" width="29.28515625" bestFit="1" customWidth="1"/>
    <col min="76" max="76" width="22.5703125" bestFit="1" customWidth="1"/>
    <col min="77" max="77" width="22.85546875" bestFit="1" customWidth="1"/>
    <col min="78" max="78" width="29" bestFit="1" customWidth="1"/>
    <col min="79" max="79" width="30.140625" bestFit="1" customWidth="1"/>
    <col min="80" max="80" width="30.5703125" bestFit="1" customWidth="1"/>
    <col min="81" max="81" width="29" bestFit="1" customWidth="1"/>
    <col min="82" max="82" width="29.28515625" bestFit="1" customWidth="1"/>
    <col min="83" max="83" width="22.5703125" bestFit="1" customWidth="1"/>
    <col min="84" max="84" width="22.85546875" bestFit="1" customWidth="1"/>
    <col min="85" max="85" width="29" bestFit="1" customWidth="1"/>
    <col min="86" max="86" width="30.140625" bestFit="1" customWidth="1"/>
    <col min="87" max="87" width="30.5703125" bestFit="1" customWidth="1"/>
    <col min="88" max="88" width="29" bestFit="1" customWidth="1"/>
    <col min="89" max="89" width="29.28515625" bestFit="1" customWidth="1"/>
    <col min="90" max="90" width="22.5703125" bestFit="1" customWidth="1"/>
    <col min="91" max="91" width="22.5703125" customWidth="1"/>
    <col min="92" max="92" width="18.85546875" bestFit="1" customWidth="1"/>
    <col min="93" max="93" width="18.28515625" bestFit="1" customWidth="1"/>
    <col min="94" max="94" width="10.85546875" bestFit="1" customWidth="1"/>
    <col min="95" max="95" width="18.28515625" bestFit="1" customWidth="1"/>
    <col min="96" max="96" width="18.28515625" customWidth="1"/>
    <col min="97" max="97" width="34.42578125" bestFit="1" customWidth="1"/>
    <col min="98" max="98" width="35.7109375" customWidth="1"/>
    <col min="99" max="99" width="30.42578125" customWidth="1"/>
  </cols>
  <sheetData>
    <row r="1" spans="1:99">
      <c r="A1" s="3" t="s">
        <v>49</v>
      </c>
      <c r="B1" s="4" t="s">
        <v>50</v>
      </c>
      <c r="C1" s="10" t="s">
        <v>51</v>
      </c>
      <c r="D1" s="5" t="s">
        <v>52</v>
      </c>
      <c r="E1" s="5" t="s">
        <v>53</v>
      </c>
      <c r="F1" s="5" t="s">
        <v>54</v>
      </c>
      <c r="G1" s="5" t="s">
        <v>55</v>
      </c>
      <c r="H1" s="5" t="s">
        <v>56</v>
      </c>
      <c r="I1" s="5" t="s">
        <v>57</v>
      </c>
      <c r="J1" s="5" t="s">
        <v>58</v>
      </c>
      <c r="K1" s="5" t="s">
        <v>59</v>
      </c>
      <c r="L1" s="5" t="s">
        <v>60</v>
      </c>
      <c r="M1" s="5" t="s">
        <v>61</v>
      </c>
      <c r="N1" s="5" t="s">
        <v>62</v>
      </c>
      <c r="O1" s="5" t="s">
        <v>63</v>
      </c>
      <c r="P1" s="5" t="s">
        <v>64</v>
      </c>
      <c r="Q1" s="5" t="s">
        <v>65</v>
      </c>
      <c r="R1" s="5" t="s">
        <v>66</v>
      </c>
      <c r="S1" s="5" t="s">
        <v>67</v>
      </c>
      <c r="T1" s="5" t="s">
        <v>68</v>
      </c>
      <c r="U1" s="5" t="s">
        <v>69</v>
      </c>
      <c r="V1" s="5" t="s">
        <v>70</v>
      </c>
      <c r="W1" s="5" t="s">
        <v>71</v>
      </c>
      <c r="X1" s="5" t="s">
        <v>72</v>
      </c>
      <c r="Y1" s="5" t="s">
        <v>73</v>
      </c>
      <c r="Z1" s="5" t="s">
        <v>74</v>
      </c>
      <c r="AA1" s="5" t="s">
        <v>75</v>
      </c>
      <c r="AB1" s="5" t="s">
        <v>76</v>
      </c>
      <c r="AC1" s="5" t="s">
        <v>77</v>
      </c>
      <c r="AD1" s="5" t="s">
        <v>78</v>
      </c>
      <c r="AE1" s="5" t="s">
        <v>79</v>
      </c>
      <c r="AF1" s="5" t="s">
        <v>80</v>
      </c>
      <c r="AG1" s="5" t="s">
        <v>81</v>
      </c>
      <c r="AH1" s="5" t="s">
        <v>82</v>
      </c>
      <c r="AI1" s="5" t="s">
        <v>83</v>
      </c>
      <c r="AJ1" s="5" t="s">
        <v>84</v>
      </c>
      <c r="AK1" s="5" t="s">
        <v>85</v>
      </c>
      <c r="AL1" s="5" t="s">
        <v>86</v>
      </c>
      <c r="AM1" s="5" t="s">
        <v>87</v>
      </c>
      <c r="AN1" s="5" t="s">
        <v>88</v>
      </c>
      <c r="AO1" s="5" t="s">
        <v>89</v>
      </c>
      <c r="AP1" s="5" t="s">
        <v>90</v>
      </c>
      <c r="AQ1" s="5" t="s">
        <v>91</v>
      </c>
      <c r="AR1" s="5" t="s">
        <v>92</v>
      </c>
      <c r="AS1" s="5" t="s">
        <v>93</v>
      </c>
      <c r="AT1" s="5" t="s">
        <v>94</v>
      </c>
      <c r="AU1" s="5" t="s">
        <v>95</v>
      </c>
      <c r="AV1" s="5" t="s">
        <v>96</v>
      </c>
      <c r="AW1" s="5" t="s">
        <v>97</v>
      </c>
      <c r="AX1" s="5" t="s">
        <v>98</v>
      </c>
      <c r="AY1" s="5" t="s">
        <v>99</v>
      </c>
      <c r="AZ1" s="5" t="s">
        <v>100</v>
      </c>
      <c r="BA1" s="5" t="s">
        <v>101</v>
      </c>
      <c r="BB1" s="5" t="s">
        <v>102</v>
      </c>
      <c r="BC1" s="5" t="s">
        <v>103</v>
      </c>
      <c r="BD1" s="5" t="s">
        <v>104</v>
      </c>
      <c r="BE1" s="5" t="s">
        <v>105</v>
      </c>
      <c r="BF1" s="5" t="s">
        <v>106</v>
      </c>
      <c r="BG1" s="5" t="s">
        <v>107</v>
      </c>
      <c r="BH1" s="5" t="s">
        <v>108</v>
      </c>
      <c r="BI1" s="5" t="s">
        <v>109</v>
      </c>
      <c r="BJ1" s="5" t="s">
        <v>110</v>
      </c>
      <c r="BK1" s="5" t="s">
        <v>111</v>
      </c>
      <c r="BL1" s="5" t="s">
        <v>112</v>
      </c>
      <c r="BM1" s="5" t="s">
        <v>113</v>
      </c>
      <c r="BN1" s="5" t="s">
        <v>114</v>
      </c>
      <c r="BO1" s="5" t="s">
        <v>115</v>
      </c>
      <c r="BP1" s="5" t="s">
        <v>116</v>
      </c>
      <c r="BQ1" s="5" t="s">
        <v>117</v>
      </c>
      <c r="BR1" s="5" t="s">
        <v>118</v>
      </c>
      <c r="BS1" s="5" t="s">
        <v>119</v>
      </c>
      <c r="BT1" s="5" t="s">
        <v>120</v>
      </c>
      <c r="BU1" s="5" t="s">
        <v>121</v>
      </c>
      <c r="BV1" s="5" t="s">
        <v>122</v>
      </c>
      <c r="BW1" s="5" t="s">
        <v>123</v>
      </c>
      <c r="BX1" s="5" t="s">
        <v>124</v>
      </c>
      <c r="BY1" s="5" t="s">
        <v>125</v>
      </c>
      <c r="BZ1" s="5" t="s">
        <v>126</v>
      </c>
      <c r="CA1" s="5" t="s">
        <v>127</v>
      </c>
      <c r="CB1" s="5" t="s">
        <v>128</v>
      </c>
      <c r="CC1" s="5" t="s">
        <v>129</v>
      </c>
      <c r="CD1" s="5" t="s">
        <v>130</v>
      </c>
      <c r="CE1" s="5" t="s">
        <v>131</v>
      </c>
      <c r="CF1" s="5" t="s">
        <v>132</v>
      </c>
      <c r="CG1" s="5" t="s">
        <v>133</v>
      </c>
      <c r="CH1" s="5" t="s">
        <v>134</v>
      </c>
      <c r="CI1" s="5" t="s">
        <v>135</v>
      </c>
      <c r="CJ1" s="5" t="s">
        <v>136</v>
      </c>
      <c r="CK1" s="5" t="s">
        <v>137</v>
      </c>
      <c r="CL1" s="5" t="s">
        <v>138</v>
      </c>
      <c r="CM1" s="11" t="s">
        <v>139</v>
      </c>
      <c r="CN1" s="5" t="s">
        <v>140</v>
      </c>
      <c r="CO1" s="5" t="s">
        <v>141</v>
      </c>
      <c r="CP1" s="5" t="s">
        <v>142</v>
      </c>
      <c r="CQ1" s="5" t="s">
        <v>143</v>
      </c>
      <c r="CR1" s="11" t="s">
        <v>139</v>
      </c>
      <c r="CS1" s="5" t="s">
        <v>144</v>
      </c>
      <c r="CT1" s="5" t="s">
        <v>145</v>
      </c>
      <c r="CU1" s="5" t="s">
        <v>146</v>
      </c>
    </row>
    <row r="2" spans="1:99" ht="43.5">
      <c r="A2" t="s">
        <v>147</v>
      </c>
      <c r="B2" t="s">
        <v>148</v>
      </c>
      <c r="C2" s="9" t="s">
        <v>149</v>
      </c>
      <c r="D2" t="s">
        <v>150</v>
      </c>
      <c r="F2" t="s">
        <v>151</v>
      </c>
      <c r="G2" t="s">
        <v>152</v>
      </c>
      <c r="I2" t="s">
        <v>153</v>
      </c>
      <c r="L2" t="s">
        <v>154</v>
      </c>
      <c r="P2">
        <v>3</v>
      </c>
      <c r="R2">
        <v>37.351599999999998</v>
      </c>
      <c r="S2">
        <v>-81.799800000000005</v>
      </c>
      <c r="T2" t="s">
        <v>155</v>
      </c>
      <c r="V2" t="s">
        <v>156</v>
      </c>
      <c r="W2" t="s">
        <v>157</v>
      </c>
      <c r="X2" t="s">
        <v>158</v>
      </c>
      <c r="Y2" t="s">
        <v>159</v>
      </c>
      <c r="Z2" t="s">
        <v>160</v>
      </c>
      <c r="AA2">
        <f>SUM(AF2,AM2,AT2,BA2,BH2,BO2,BV2,CC2,CJ2)</f>
        <v>8589001</v>
      </c>
      <c r="AB2" t="s">
        <v>161</v>
      </c>
      <c r="AC2" t="s">
        <v>162</v>
      </c>
      <c r="AF2">
        <v>1000000</v>
      </c>
      <c r="AI2" t="s">
        <v>163</v>
      </c>
      <c r="AJ2" t="s">
        <v>162</v>
      </c>
      <c r="AM2">
        <v>0</v>
      </c>
      <c r="AP2" t="s">
        <v>164</v>
      </c>
      <c r="AQ2" t="s">
        <v>165</v>
      </c>
      <c r="AT2">
        <v>2000000</v>
      </c>
      <c r="AW2" t="s">
        <v>166</v>
      </c>
      <c r="AX2" t="s">
        <v>165</v>
      </c>
      <c r="BA2">
        <v>0</v>
      </c>
      <c r="BD2" t="s">
        <v>167</v>
      </c>
      <c r="BE2" t="s">
        <v>165</v>
      </c>
      <c r="BH2">
        <v>1898418.5</v>
      </c>
      <c r="BK2" t="s">
        <v>168</v>
      </c>
      <c r="BL2" t="s">
        <v>165</v>
      </c>
      <c r="BO2">
        <v>1000000</v>
      </c>
      <c r="BR2" t="s">
        <v>169</v>
      </c>
      <c r="BS2" t="s">
        <v>165</v>
      </c>
      <c r="BV2">
        <v>1690582.5</v>
      </c>
      <c r="BY2" t="s">
        <v>170</v>
      </c>
      <c r="BZ2" t="s">
        <v>165</v>
      </c>
      <c r="CC2">
        <v>1000000</v>
      </c>
      <c r="CF2" t="s">
        <v>171</v>
      </c>
      <c r="CG2" t="s">
        <v>171</v>
      </c>
      <c r="CJ2">
        <v>0</v>
      </c>
      <c r="CK2">
        <v>0</v>
      </c>
      <c r="CN2" t="s">
        <v>172</v>
      </c>
      <c r="CO2" t="s">
        <v>173</v>
      </c>
      <c r="CP2" t="s">
        <v>174</v>
      </c>
      <c r="CQ2" t="s">
        <v>175</v>
      </c>
      <c r="CS2" t="s">
        <v>176</v>
      </c>
      <c r="CT2">
        <v>0</v>
      </c>
    </row>
    <row r="3" spans="1:99" ht="45">
      <c r="A3" t="s">
        <v>177</v>
      </c>
      <c r="B3" t="s">
        <v>178</v>
      </c>
      <c r="C3" s="9" t="s">
        <v>179</v>
      </c>
      <c r="D3" t="s">
        <v>150</v>
      </c>
      <c r="F3" t="s">
        <v>180</v>
      </c>
      <c r="G3" t="s">
        <v>181</v>
      </c>
      <c r="I3" t="s">
        <v>182</v>
      </c>
      <c r="L3" t="s">
        <v>183</v>
      </c>
      <c r="P3">
        <v>2</v>
      </c>
      <c r="R3">
        <v>38.961399999999998</v>
      </c>
      <c r="S3">
        <v>-81.069999999999993</v>
      </c>
      <c r="T3" t="s">
        <v>184</v>
      </c>
      <c r="V3" t="s">
        <v>156</v>
      </c>
      <c r="W3" t="s">
        <v>157</v>
      </c>
      <c r="X3" t="s">
        <v>158</v>
      </c>
      <c r="Y3" t="s">
        <v>159</v>
      </c>
      <c r="Z3" t="s">
        <v>160</v>
      </c>
      <c r="AA3">
        <f>SUM(AF3,AM3,AT3,BA3,BH3,BO3,BV3,CC3,CJ3)</f>
        <v>4440000</v>
      </c>
      <c r="AB3" t="s">
        <v>161</v>
      </c>
      <c r="AC3" t="s">
        <v>162</v>
      </c>
      <c r="AF3">
        <v>500000</v>
      </c>
      <c r="AI3" t="s">
        <v>163</v>
      </c>
      <c r="AJ3" t="s">
        <v>162</v>
      </c>
      <c r="AM3">
        <v>0</v>
      </c>
      <c r="AP3" t="s">
        <v>164</v>
      </c>
      <c r="AQ3" t="s">
        <v>165</v>
      </c>
      <c r="AT3">
        <v>0</v>
      </c>
      <c r="AW3" t="s">
        <v>166</v>
      </c>
      <c r="AX3" t="s">
        <v>165</v>
      </c>
      <c r="BA3">
        <v>0</v>
      </c>
      <c r="BD3" t="s">
        <v>167</v>
      </c>
      <c r="BE3" t="s">
        <v>165</v>
      </c>
      <c r="BH3">
        <v>0</v>
      </c>
      <c r="BK3" t="s">
        <v>168</v>
      </c>
      <c r="BL3" t="s">
        <v>165</v>
      </c>
      <c r="BO3">
        <v>2500000</v>
      </c>
      <c r="BR3" t="s">
        <v>169</v>
      </c>
      <c r="BS3" t="s">
        <v>165</v>
      </c>
      <c r="BV3">
        <v>0</v>
      </c>
      <c r="BY3" t="s">
        <v>170</v>
      </c>
      <c r="BZ3" t="s">
        <v>165</v>
      </c>
      <c r="CC3">
        <v>1440000</v>
      </c>
      <c r="CF3" t="s">
        <v>171</v>
      </c>
      <c r="CG3" t="s">
        <v>171</v>
      </c>
      <c r="CJ3">
        <v>0</v>
      </c>
      <c r="CK3">
        <v>0</v>
      </c>
      <c r="CN3" t="s">
        <v>172</v>
      </c>
      <c r="CO3" t="s">
        <v>173</v>
      </c>
      <c r="CS3" t="s">
        <v>185</v>
      </c>
      <c r="CT3">
        <v>62</v>
      </c>
    </row>
    <row r="4" spans="1:99" ht="75">
      <c r="A4" t="s">
        <v>186</v>
      </c>
      <c r="B4" t="s">
        <v>187</v>
      </c>
      <c r="C4" s="9" t="s">
        <v>188</v>
      </c>
      <c r="D4" t="s">
        <v>150</v>
      </c>
      <c r="F4" t="s">
        <v>180</v>
      </c>
      <c r="G4" t="s">
        <v>181</v>
      </c>
      <c r="I4" t="s">
        <v>189</v>
      </c>
      <c r="L4" t="s">
        <v>190</v>
      </c>
      <c r="P4">
        <v>0</v>
      </c>
      <c r="R4">
        <v>38.5</v>
      </c>
      <c r="S4">
        <v>-81.099999999999994</v>
      </c>
      <c r="T4" t="s">
        <v>184</v>
      </c>
      <c r="V4" t="s">
        <v>156</v>
      </c>
      <c r="W4" t="s">
        <v>157</v>
      </c>
      <c r="X4" t="s">
        <v>158</v>
      </c>
      <c r="Y4" t="s">
        <v>159</v>
      </c>
      <c r="Z4" t="s">
        <v>160</v>
      </c>
      <c r="AA4">
        <f>SUM(AF4,AM4,AT4,BA4,BH4,BO4,BV4,CC4,CJ4)</f>
        <v>1257500</v>
      </c>
      <c r="AB4" t="s">
        <v>161</v>
      </c>
      <c r="AC4" t="s">
        <v>162</v>
      </c>
      <c r="AF4">
        <v>477500</v>
      </c>
      <c r="AI4" t="s">
        <v>163</v>
      </c>
      <c r="AJ4" t="s">
        <v>162</v>
      </c>
      <c r="AM4">
        <v>0</v>
      </c>
      <c r="AP4" t="s">
        <v>164</v>
      </c>
      <c r="AQ4" t="s">
        <v>165</v>
      </c>
      <c r="AT4">
        <v>0</v>
      </c>
      <c r="AW4" t="s">
        <v>166</v>
      </c>
      <c r="AX4" t="s">
        <v>165</v>
      </c>
      <c r="BA4">
        <v>0</v>
      </c>
      <c r="BD4" t="s">
        <v>167</v>
      </c>
      <c r="BE4" t="s">
        <v>165</v>
      </c>
      <c r="BH4">
        <v>0</v>
      </c>
      <c r="BK4" t="s">
        <v>168</v>
      </c>
      <c r="BL4" t="s">
        <v>165</v>
      </c>
      <c r="BO4">
        <v>780000</v>
      </c>
      <c r="BR4" t="s">
        <v>169</v>
      </c>
      <c r="BS4" t="s">
        <v>165</v>
      </c>
      <c r="BV4">
        <v>0</v>
      </c>
      <c r="BY4" t="s">
        <v>170</v>
      </c>
      <c r="BZ4" t="s">
        <v>165</v>
      </c>
      <c r="CC4">
        <v>0</v>
      </c>
      <c r="CF4" t="s">
        <v>171</v>
      </c>
      <c r="CG4" t="s">
        <v>171</v>
      </c>
      <c r="CJ4">
        <v>0</v>
      </c>
      <c r="CK4">
        <v>0</v>
      </c>
      <c r="CN4" t="s">
        <v>172</v>
      </c>
      <c r="CO4" t="s">
        <v>191</v>
      </c>
      <c r="CS4" t="s">
        <v>192</v>
      </c>
      <c r="CT4">
        <v>0</v>
      </c>
    </row>
    <row r="5" spans="1:99" ht="90">
      <c r="A5" t="s">
        <v>193</v>
      </c>
      <c r="B5" t="s">
        <v>194</v>
      </c>
      <c r="C5" s="9" t="s">
        <v>195</v>
      </c>
      <c r="D5" t="s">
        <v>150</v>
      </c>
      <c r="F5" t="s">
        <v>180</v>
      </c>
      <c r="G5" t="s">
        <v>181</v>
      </c>
      <c r="I5" t="s">
        <v>153</v>
      </c>
      <c r="L5" t="s">
        <v>196</v>
      </c>
      <c r="P5">
        <v>3</v>
      </c>
      <c r="R5">
        <v>37.674900000000001</v>
      </c>
      <c r="S5">
        <v>-80.960499999999996</v>
      </c>
      <c r="T5" t="s">
        <v>184</v>
      </c>
      <c r="V5" t="s">
        <v>156</v>
      </c>
      <c r="W5" t="s">
        <v>157</v>
      </c>
      <c r="X5" t="s">
        <v>158</v>
      </c>
      <c r="Y5" t="s">
        <v>159</v>
      </c>
      <c r="Z5" t="s">
        <v>160</v>
      </c>
      <c r="AA5">
        <f>SUM(AF5,AM5,AT5,BA5,BH5,BO5,BV5,CC5,CJ5)</f>
        <v>9640020</v>
      </c>
      <c r="AB5" t="s">
        <v>161</v>
      </c>
      <c r="AC5" t="s">
        <v>162</v>
      </c>
      <c r="AF5">
        <v>1766466</v>
      </c>
      <c r="AI5" t="s">
        <v>163</v>
      </c>
      <c r="AJ5" t="s">
        <v>162</v>
      </c>
      <c r="AM5">
        <v>1200000</v>
      </c>
      <c r="AP5" t="s">
        <v>164</v>
      </c>
      <c r="AQ5" t="s">
        <v>165</v>
      </c>
      <c r="AT5">
        <v>0</v>
      </c>
      <c r="AW5" t="s">
        <v>166</v>
      </c>
      <c r="AX5" t="s">
        <v>165</v>
      </c>
      <c r="BA5">
        <v>1705000</v>
      </c>
      <c r="BD5" t="s">
        <v>167</v>
      </c>
      <c r="BE5" t="s">
        <v>165</v>
      </c>
      <c r="BH5">
        <v>1663158</v>
      </c>
      <c r="BK5" t="s">
        <v>168</v>
      </c>
      <c r="BL5" t="s">
        <v>165</v>
      </c>
      <c r="BO5">
        <v>1636842</v>
      </c>
      <c r="BR5" t="s">
        <v>169</v>
      </c>
      <c r="BS5" t="s">
        <v>165</v>
      </c>
      <c r="BV5">
        <v>0</v>
      </c>
      <c r="BY5" t="s">
        <v>170</v>
      </c>
      <c r="BZ5" t="s">
        <v>165</v>
      </c>
      <c r="CC5">
        <v>0</v>
      </c>
      <c r="CF5" t="s">
        <v>171</v>
      </c>
      <c r="CG5" t="s">
        <v>171</v>
      </c>
      <c r="CJ5">
        <v>1668554</v>
      </c>
      <c r="CK5">
        <v>0</v>
      </c>
      <c r="CN5" t="s">
        <v>172</v>
      </c>
      <c r="CO5" t="s">
        <v>197</v>
      </c>
      <c r="CS5" t="s">
        <v>198</v>
      </c>
      <c r="CT5">
        <v>53</v>
      </c>
    </row>
    <row r="6" spans="1:99">
      <c r="A6" t="s">
        <v>199</v>
      </c>
      <c r="B6" t="s">
        <v>200</v>
      </c>
      <c r="C6" s="9" t="s">
        <v>201</v>
      </c>
      <c r="D6" t="s">
        <v>150</v>
      </c>
      <c r="F6" t="s">
        <v>180</v>
      </c>
      <c r="G6" t="s">
        <v>181</v>
      </c>
      <c r="I6" t="s">
        <v>182</v>
      </c>
      <c r="L6" t="s">
        <v>202</v>
      </c>
      <c r="P6">
        <v>3</v>
      </c>
      <c r="R6">
        <v>38.212200000000003</v>
      </c>
      <c r="S6">
        <v>-80.95</v>
      </c>
      <c r="T6" t="s">
        <v>184</v>
      </c>
      <c r="V6" t="s">
        <v>156</v>
      </c>
      <c r="W6" t="s">
        <v>157</v>
      </c>
      <c r="X6" t="s">
        <v>158</v>
      </c>
      <c r="Y6" t="s">
        <v>159</v>
      </c>
      <c r="Z6" t="s">
        <v>160</v>
      </c>
      <c r="AA6">
        <f>SUM(AF6,AM6,AT6,BA6,BH6,BO6,BV6,CC6,CJ6)</f>
        <v>2771500</v>
      </c>
      <c r="AB6" t="s">
        <v>161</v>
      </c>
      <c r="AC6" t="s">
        <v>162</v>
      </c>
      <c r="AF6">
        <v>500000</v>
      </c>
      <c r="AI6" t="s">
        <v>163</v>
      </c>
      <c r="AJ6" t="s">
        <v>162</v>
      </c>
      <c r="AM6">
        <v>0</v>
      </c>
      <c r="AP6" t="s">
        <v>164</v>
      </c>
      <c r="AQ6" t="s">
        <v>165</v>
      </c>
      <c r="AT6">
        <v>0</v>
      </c>
      <c r="AW6" t="s">
        <v>166</v>
      </c>
      <c r="AX6" t="s">
        <v>165</v>
      </c>
      <c r="BA6">
        <v>0</v>
      </c>
      <c r="BD6" t="s">
        <v>167</v>
      </c>
      <c r="BE6" t="s">
        <v>165</v>
      </c>
      <c r="BH6">
        <v>0</v>
      </c>
      <c r="BK6" t="s">
        <v>168</v>
      </c>
      <c r="BL6" t="s">
        <v>165</v>
      </c>
      <c r="BO6">
        <v>1696000</v>
      </c>
      <c r="BR6" t="s">
        <v>169</v>
      </c>
      <c r="BS6" t="s">
        <v>165</v>
      </c>
      <c r="BV6">
        <v>0</v>
      </c>
      <c r="BY6" t="s">
        <v>170</v>
      </c>
      <c r="BZ6" t="s">
        <v>165</v>
      </c>
      <c r="CC6">
        <v>0</v>
      </c>
      <c r="CF6" t="s">
        <v>171</v>
      </c>
      <c r="CG6" t="s">
        <v>171</v>
      </c>
      <c r="CJ6">
        <v>575500</v>
      </c>
      <c r="CK6">
        <v>0</v>
      </c>
      <c r="CN6" t="s">
        <v>172</v>
      </c>
      <c r="CO6" t="s">
        <v>191</v>
      </c>
      <c r="CS6" t="s">
        <v>203</v>
      </c>
      <c r="CT6">
        <v>1</v>
      </c>
    </row>
    <row r="7" spans="1:99" ht="30">
      <c r="A7" t="s">
        <v>204</v>
      </c>
      <c r="B7" t="s">
        <v>205</v>
      </c>
      <c r="C7" s="9" t="s">
        <v>206</v>
      </c>
      <c r="D7" t="s">
        <v>150</v>
      </c>
      <c r="F7" t="s">
        <v>151</v>
      </c>
      <c r="G7" t="s">
        <v>181</v>
      </c>
      <c r="I7" t="s">
        <v>153</v>
      </c>
      <c r="L7" t="s">
        <v>207</v>
      </c>
      <c r="P7">
        <v>1</v>
      </c>
      <c r="R7">
        <v>39.354199999999999</v>
      </c>
      <c r="S7">
        <v>-81.403700000000001</v>
      </c>
      <c r="T7" t="s">
        <v>184</v>
      </c>
      <c r="V7" t="s">
        <v>156</v>
      </c>
      <c r="W7" t="s">
        <v>157</v>
      </c>
      <c r="X7" t="s">
        <v>158</v>
      </c>
      <c r="Y7" t="s">
        <v>159</v>
      </c>
      <c r="Z7" t="s">
        <v>160</v>
      </c>
      <c r="AA7">
        <f>SUM(AF7,AM7,AT7,BA7,BH7,BO7,BV7,CC7,CJ7)</f>
        <v>9816725</v>
      </c>
      <c r="AB7" t="s">
        <v>161</v>
      </c>
      <c r="AC7" t="s">
        <v>162</v>
      </c>
      <c r="AF7">
        <v>474508</v>
      </c>
      <c r="AI7" t="s">
        <v>163</v>
      </c>
      <c r="AJ7" t="s">
        <v>162</v>
      </c>
      <c r="AM7">
        <v>0</v>
      </c>
      <c r="AP7" t="s">
        <v>164</v>
      </c>
      <c r="AQ7" t="s">
        <v>165</v>
      </c>
      <c r="AT7">
        <v>9342217</v>
      </c>
      <c r="AW7" t="s">
        <v>166</v>
      </c>
      <c r="AX7" t="s">
        <v>165</v>
      </c>
      <c r="BA7">
        <v>0</v>
      </c>
      <c r="BD7" t="s">
        <v>167</v>
      </c>
      <c r="BE7" t="s">
        <v>165</v>
      </c>
      <c r="BH7">
        <v>0</v>
      </c>
      <c r="BK7" t="s">
        <v>168</v>
      </c>
      <c r="BL7" t="s">
        <v>165</v>
      </c>
      <c r="BO7">
        <v>0</v>
      </c>
      <c r="BR7" t="s">
        <v>169</v>
      </c>
      <c r="BS7" t="s">
        <v>165</v>
      </c>
      <c r="BV7">
        <v>0</v>
      </c>
      <c r="BY7" t="s">
        <v>170</v>
      </c>
      <c r="BZ7" t="s">
        <v>165</v>
      </c>
      <c r="CC7">
        <v>0</v>
      </c>
      <c r="CF7" t="s">
        <v>171</v>
      </c>
      <c r="CG7" t="s">
        <v>171</v>
      </c>
      <c r="CJ7">
        <v>0</v>
      </c>
      <c r="CK7">
        <v>0</v>
      </c>
      <c r="CN7" t="s">
        <v>172</v>
      </c>
      <c r="CO7" t="s">
        <v>208</v>
      </c>
      <c r="CS7" t="s">
        <v>209</v>
      </c>
      <c r="CT7">
        <v>0</v>
      </c>
    </row>
    <row r="8" spans="1:99">
      <c r="A8" t="s">
        <v>210</v>
      </c>
      <c r="B8" t="s">
        <v>211</v>
      </c>
      <c r="C8" s="9" t="s">
        <v>212</v>
      </c>
      <c r="D8" t="s">
        <v>150</v>
      </c>
      <c r="F8" t="s">
        <v>180</v>
      </c>
      <c r="G8" t="s">
        <v>181</v>
      </c>
      <c r="I8" t="s">
        <v>153</v>
      </c>
      <c r="L8" t="s">
        <v>213</v>
      </c>
      <c r="P8">
        <v>1</v>
      </c>
      <c r="R8">
        <v>39.208799999999997</v>
      </c>
      <c r="S8">
        <v>-81.157200000000003</v>
      </c>
      <c r="T8" t="s">
        <v>184</v>
      </c>
      <c r="V8" t="s">
        <v>156</v>
      </c>
      <c r="W8" t="s">
        <v>157</v>
      </c>
      <c r="X8" t="s">
        <v>158</v>
      </c>
      <c r="Y8" t="s">
        <v>159</v>
      </c>
      <c r="Z8" t="s">
        <v>160</v>
      </c>
      <c r="AA8">
        <f>SUM(AF8,AM8,AT8,BA8,BH8,BO8,BV8,CC8,CJ8)</f>
        <v>4125000</v>
      </c>
      <c r="AB8" t="s">
        <v>161</v>
      </c>
      <c r="AC8" t="s">
        <v>162</v>
      </c>
      <c r="AF8">
        <v>1000000</v>
      </c>
      <c r="AI8" t="s">
        <v>163</v>
      </c>
      <c r="AJ8" t="s">
        <v>162</v>
      </c>
      <c r="AM8">
        <v>0</v>
      </c>
      <c r="AP8" t="s">
        <v>164</v>
      </c>
      <c r="AQ8" t="s">
        <v>165</v>
      </c>
      <c r="AT8">
        <v>0</v>
      </c>
      <c r="AW8" t="s">
        <v>166</v>
      </c>
      <c r="AX8" t="s">
        <v>165</v>
      </c>
      <c r="BA8">
        <v>0</v>
      </c>
      <c r="BD8" t="s">
        <v>167</v>
      </c>
      <c r="BE8" t="s">
        <v>165</v>
      </c>
      <c r="BH8">
        <v>0</v>
      </c>
      <c r="BK8" t="s">
        <v>168</v>
      </c>
      <c r="BL8" t="s">
        <v>165</v>
      </c>
      <c r="BO8">
        <v>0</v>
      </c>
      <c r="BR8" t="s">
        <v>169</v>
      </c>
      <c r="BS8" t="s">
        <v>165</v>
      </c>
      <c r="BV8">
        <v>0</v>
      </c>
      <c r="BY8" t="s">
        <v>170</v>
      </c>
      <c r="BZ8" t="s">
        <v>165</v>
      </c>
      <c r="CC8">
        <v>0</v>
      </c>
      <c r="CF8" t="s">
        <v>171</v>
      </c>
      <c r="CG8" t="s">
        <v>171</v>
      </c>
      <c r="CJ8">
        <v>3125000</v>
      </c>
      <c r="CK8">
        <v>0</v>
      </c>
      <c r="CN8" t="s">
        <v>172</v>
      </c>
      <c r="CO8" t="s">
        <v>214</v>
      </c>
      <c r="CS8" t="s">
        <v>215</v>
      </c>
      <c r="CT8">
        <v>0</v>
      </c>
    </row>
    <row r="9" spans="1:99" ht="90">
      <c r="A9" t="s">
        <v>216</v>
      </c>
      <c r="B9" t="s">
        <v>217</v>
      </c>
      <c r="C9" s="9" t="s">
        <v>218</v>
      </c>
      <c r="D9" t="s">
        <v>150</v>
      </c>
      <c r="F9" t="s">
        <v>180</v>
      </c>
      <c r="G9" t="s">
        <v>152</v>
      </c>
      <c r="I9" t="s">
        <v>153</v>
      </c>
      <c r="L9" t="s">
        <v>219</v>
      </c>
      <c r="P9">
        <v>3</v>
      </c>
      <c r="R9">
        <v>38.518000000000001</v>
      </c>
      <c r="S9">
        <v>-80.448099999999997</v>
      </c>
      <c r="T9" t="s">
        <v>155</v>
      </c>
      <c r="V9" t="s">
        <v>156</v>
      </c>
      <c r="W9" t="s">
        <v>157</v>
      </c>
      <c r="X9" t="s">
        <v>158</v>
      </c>
      <c r="Y9" t="s">
        <v>159</v>
      </c>
      <c r="Z9" t="s">
        <v>160</v>
      </c>
      <c r="AA9">
        <f>SUM(AF9,AM9,AT9,BA9,BH9,BO9,BV9,CC9,CJ9)</f>
        <v>2134519</v>
      </c>
      <c r="AB9" t="s">
        <v>161</v>
      </c>
      <c r="AC9" t="s">
        <v>162</v>
      </c>
      <c r="AF9">
        <v>837000</v>
      </c>
      <c r="AI9" t="s">
        <v>163</v>
      </c>
      <c r="AJ9" t="s">
        <v>162</v>
      </c>
      <c r="AM9">
        <v>0</v>
      </c>
      <c r="AP9" t="s">
        <v>164</v>
      </c>
      <c r="AQ9" t="s">
        <v>165</v>
      </c>
      <c r="AT9">
        <v>0</v>
      </c>
      <c r="AW9" t="s">
        <v>166</v>
      </c>
      <c r="AX9" t="s">
        <v>165</v>
      </c>
      <c r="BA9">
        <v>0</v>
      </c>
      <c r="BD9" t="s">
        <v>167</v>
      </c>
      <c r="BE9" t="s">
        <v>165</v>
      </c>
      <c r="BH9">
        <v>0</v>
      </c>
      <c r="BK9" t="s">
        <v>168</v>
      </c>
      <c r="BL9" t="s">
        <v>165</v>
      </c>
      <c r="BO9">
        <v>0</v>
      </c>
      <c r="BR9" t="s">
        <v>169</v>
      </c>
      <c r="BS9" t="s">
        <v>165</v>
      </c>
      <c r="BV9">
        <v>0</v>
      </c>
      <c r="BY9" t="s">
        <v>170</v>
      </c>
      <c r="BZ9" t="s">
        <v>165</v>
      </c>
      <c r="CC9">
        <v>0</v>
      </c>
      <c r="CF9" t="s">
        <v>171</v>
      </c>
      <c r="CG9" t="s">
        <v>171</v>
      </c>
      <c r="CJ9">
        <v>1297519</v>
      </c>
      <c r="CK9">
        <v>0</v>
      </c>
      <c r="CN9" t="s">
        <v>172</v>
      </c>
      <c r="CO9" t="s">
        <v>197</v>
      </c>
      <c r="CP9" t="s">
        <v>174</v>
      </c>
      <c r="CQ9" t="s">
        <v>220</v>
      </c>
      <c r="CS9" t="s">
        <v>221</v>
      </c>
      <c r="CT9">
        <v>50</v>
      </c>
    </row>
    <row r="10" spans="1:99" ht="45">
      <c r="A10" t="s">
        <v>210</v>
      </c>
      <c r="B10" t="s">
        <v>222</v>
      </c>
      <c r="C10" s="9" t="s">
        <v>223</v>
      </c>
      <c r="D10" t="s">
        <v>150</v>
      </c>
      <c r="F10" t="s">
        <v>180</v>
      </c>
      <c r="G10" t="s">
        <v>152</v>
      </c>
      <c r="I10" t="s">
        <v>153</v>
      </c>
      <c r="L10" t="s">
        <v>224</v>
      </c>
      <c r="P10">
        <v>1</v>
      </c>
      <c r="R10">
        <v>38.978299999999997</v>
      </c>
      <c r="S10">
        <v>-79.949600000000004</v>
      </c>
      <c r="T10" t="s">
        <v>155</v>
      </c>
      <c r="V10" t="s">
        <v>156</v>
      </c>
      <c r="W10" t="s">
        <v>157</v>
      </c>
      <c r="X10" t="s">
        <v>158</v>
      </c>
      <c r="Y10" t="s">
        <v>159</v>
      </c>
      <c r="Z10" t="s">
        <v>160</v>
      </c>
      <c r="AA10">
        <f>SUM(AF10,AM10,AT10,BA10,BH10,BO10,BV10,CC10,CJ10)</f>
        <v>2708000</v>
      </c>
      <c r="AB10" t="s">
        <v>161</v>
      </c>
      <c r="AC10" t="s">
        <v>162</v>
      </c>
      <c r="AF10">
        <v>919983.61</v>
      </c>
      <c r="AI10" t="s">
        <v>163</v>
      </c>
      <c r="AJ10" t="s">
        <v>162</v>
      </c>
      <c r="AM10">
        <v>0</v>
      </c>
      <c r="AP10" t="s">
        <v>164</v>
      </c>
      <c r="AQ10" t="s">
        <v>165</v>
      </c>
      <c r="AT10">
        <v>0</v>
      </c>
      <c r="AW10" t="s">
        <v>166</v>
      </c>
      <c r="AX10" t="s">
        <v>165</v>
      </c>
      <c r="BA10">
        <v>0</v>
      </c>
      <c r="BD10" t="s">
        <v>167</v>
      </c>
      <c r="BE10" t="s">
        <v>165</v>
      </c>
      <c r="BH10">
        <v>0</v>
      </c>
      <c r="BK10" t="s">
        <v>168</v>
      </c>
      <c r="BL10" t="s">
        <v>165</v>
      </c>
      <c r="BO10">
        <v>1370016.39</v>
      </c>
      <c r="BR10" t="s">
        <v>169</v>
      </c>
      <c r="BS10" t="s">
        <v>165</v>
      </c>
      <c r="BV10">
        <v>0</v>
      </c>
      <c r="BY10" t="s">
        <v>170</v>
      </c>
      <c r="BZ10" t="s">
        <v>165</v>
      </c>
      <c r="CC10">
        <v>418000</v>
      </c>
      <c r="CF10" t="s">
        <v>171</v>
      </c>
      <c r="CG10" t="s">
        <v>171</v>
      </c>
      <c r="CJ10">
        <v>0</v>
      </c>
      <c r="CK10">
        <v>0</v>
      </c>
      <c r="CN10" t="s">
        <v>172</v>
      </c>
      <c r="CO10" t="s">
        <v>173</v>
      </c>
      <c r="CP10" t="s">
        <v>174</v>
      </c>
      <c r="CQ10" t="s">
        <v>225</v>
      </c>
      <c r="CS10" t="s">
        <v>226</v>
      </c>
      <c r="CT10">
        <v>0</v>
      </c>
    </row>
    <row r="11" spans="1:99" ht="60">
      <c r="A11" t="s">
        <v>227</v>
      </c>
      <c r="B11" t="s">
        <v>228</v>
      </c>
      <c r="C11" s="9" t="s">
        <v>229</v>
      </c>
      <c r="D11" t="s">
        <v>150</v>
      </c>
      <c r="F11" t="s">
        <v>180</v>
      </c>
      <c r="G11" t="s">
        <v>181</v>
      </c>
      <c r="I11" t="s">
        <v>153</v>
      </c>
      <c r="L11" t="s">
        <v>230</v>
      </c>
      <c r="P11">
        <v>2</v>
      </c>
      <c r="R11">
        <v>38.249400000000001</v>
      </c>
      <c r="S11">
        <v>-81.7684</v>
      </c>
      <c r="T11" t="s">
        <v>184</v>
      </c>
      <c r="V11" t="s">
        <v>156</v>
      </c>
      <c r="W11" t="s">
        <v>157</v>
      </c>
      <c r="X11" t="s">
        <v>158</v>
      </c>
      <c r="Y11" t="s">
        <v>159</v>
      </c>
      <c r="Z11" t="s">
        <v>160</v>
      </c>
      <c r="AA11">
        <f>SUM(AF11,AM11,AT11,BA11,BH11,BO11,BV11,CC11,CJ11)</f>
        <v>11439000</v>
      </c>
      <c r="AB11" t="s">
        <v>161</v>
      </c>
      <c r="AC11" t="s">
        <v>162</v>
      </c>
      <c r="AF11">
        <v>10209240</v>
      </c>
      <c r="AI11" t="s">
        <v>163</v>
      </c>
      <c r="AJ11" t="s">
        <v>162</v>
      </c>
      <c r="AM11">
        <v>0</v>
      </c>
      <c r="AP11" t="s">
        <v>164</v>
      </c>
      <c r="AQ11" t="s">
        <v>165</v>
      </c>
      <c r="AT11">
        <v>0</v>
      </c>
      <c r="AW11" t="s">
        <v>166</v>
      </c>
      <c r="AX11" t="s">
        <v>165</v>
      </c>
      <c r="BA11">
        <v>0</v>
      </c>
      <c r="BD11" t="s">
        <v>167</v>
      </c>
      <c r="BE11" t="s">
        <v>165</v>
      </c>
      <c r="BH11">
        <v>0</v>
      </c>
      <c r="BK11" t="s">
        <v>168</v>
      </c>
      <c r="BL11" t="s">
        <v>165</v>
      </c>
      <c r="BO11">
        <v>0</v>
      </c>
      <c r="BR11" t="s">
        <v>169</v>
      </c>
      <c r="BS11" t="s">
        <v>165</v>
      </c>
      <c r="BV11">
        <v>0</v>
      </c>
      <c r="BY11" t="s">
        <v>170</v>
      </c>
      <c r="BZ11" t="s">
        <v>165</v>
      </c>
      <c r="CC11">
        <v>0</v>
      </c>
      <c r="CF11" t="s">
        <v>171</v>
      </c>
      <c r="CG11" t="s">
        <v>171</v>
      </c>
      <c r="CJ11">
        <v>1229760</v>
      </c>
      <c r="CK11">
        <v>0</v>
      </c>
      <c r="CN11" t="s">
        <v>172</v>
      </c>
      <c r="CO11" t="s">
        <v>214</v>
      </c>
      <c r="CS11" t="s">
        <v>231</v>
      </c>
      <c r="CT11">
        <v>110</v>
      </c>
    </row>
    <row r="12" spans="1:99" ht="105">
      <c r="A12" t="s">
        <v>232</v>
      </c>
      <c r="B12" t="s">
        <v>233</v>
      </c>
      <c r="C12" s="9" t="s">
        <v>234</v>
      </c>
      <c r="D12" t="s">
        <v>150</v>
      </c>
      <c r="F12" t="s">
        <v>151</v>
      </c>
      <c r="G12" t="s">
        <v>181</v>
      </c>
      <c r="I12" t="s">
        <v>153</v>
      </c>
      <c r="L12" t="s">
        <v>235</v>
      </c>
      <c r="P12">
        <v>1</v>
      </c>
      <c r="R12">
        <v>39.826500000000003</v>
      </c>
      <c r="S12">
        <v>-80.5655</v>
      </c>
      <c r="T12" t="s">
        <v>184</v>
      </c>
      <c r="V12" t="s">
        <v>156</v>
      </c>
      <c r="W12" t="s">
        <v>157</v>
      </c>
      <c r="X12" t="s">
        <v>158</v>
      </c>
      <c r="Y12" t="s">
        <v>159</v>
      </c>
      <c r="Z12" t="s">
        <v>160</v>
      </c>
      <c r="AA12">
        <f>SUM(AF12,AM12,AT12,BA12,BH12,BO12,BV12,CC12,CJ12)</f>
        <v>2500000</v>
      </c>
      <c r="AB12" t="s">
        <v>161</v>
      </c>
      <c r="AC12" t="s">
        <v>162</v>
      </c>
      <c r="AF12">
        <v>1000000</v>
      </c>
      <c r="AI12" t="s">
        <v>163</v>
      </c>
      <c r="AJ12" t="s">
        <v>162</v>
      </c>
      <c r="AM12">
        <v>0</v>
      </c>
      <c r="AP12" t="s">
        <v>164</v>
      </c>
      <c r="AQ12" t="s">
        <v>165</v>
      </c>
      <c r="AT12">
        <v>1500000</v>
      </c>
      <c r="AW12" t="s">
        <v>166</v>
      </c>
      <c r="AX12" t="s">
        <v>165</v>
      </c>
      <c r="BA12">
        <v>0</v>
      </c>
      <c r="BD12" t="s">
        <v>167</v>
      </c>
      <c r="BE12" t="s">
        <v>165</v>
      </c>
      <c r="BH12">
        <v>0</v>
      </c>
      <c r="BK12" t="s">
        <v>168</v>
      </c>
      <c r="BL12" t="s">
        <v>165</v>
      </c>
      <c r="BO12">
        <v>0</v>
      </c>
      <c r="BR12" t="s">
        <v>169</v>
      </c>
      <c r="BS12" t="s">
        <v>165</v>
      </c>
      <c r="BV12">
        <v>0</v>
      </c>
      <c r="BY12" t="s">
        <v>170</v>
      </c>
      <c r="BZ12" t="s">
        <v>165</v>
      </c>
      <c r="CC12">
        <v>0</v>
      </c>
      <c r="CF12" t="s">
        <v>171</v>
      </c>
      <c r="CG12" t="s">
        <v>171</v>
      </c>
      <c r="CJ12">
        <v>0</v>
      </c>
      <c r="CK12">
        <v>0</v>
      </c>
      <c r="CN12" t="s">
        <v>172</v>
      </c>
      <c r="CO12" t="s">
        <v>197</v>
      </c>
      <c r="CS12" t="s">
        <v>236</v>
      </c>
      <c r="CT12">
        <v>0</v>
      </c>
    </row>
    <row r="13" spans="1:99" ht="90">
      <c r="A13" t="s">
        <v>237</v>
      </c>
      <c r="B13" t="s">
        <v>238</v>
      </c>
      <c r="C13" s="9" t="s">
        <v>239</v>
      </c>
      <c r="D13" t="s">
        <v>150</v>
      </c>
      <c r="F13" t="s">
        <v>151</v>
      </c>
      <c r="G13" t="s">
        <v>181</v>
      </c>
      <c r="I13" t="s">
        <v>153</v>
      </c>
      <c r="L13" t="s">
        <v>240</v>
      </c>
      <c r="P13">
        <v>2</v>
      </c>
      <c r="R13">
        <v>39.041499999999999</v>
      </c>
      <c r="S13">
        <v>-80.274100000000004</v>
      </c>
      <c r="T13" t="s">
        <v>184</v>
      </c>
      <c r="V13" t="s">
        <v>156</v>
      </c>
      <c r="W13" t="s">
        <v>157</v>
      </c>
      <c r="X13" t="s">
        <v>158</v>
      </c>
      <c r="Y13" t="s">
        <v>159</v>
      </c>
      <c r="Z13" t="s">
        <v>160</v>
      </c>
      <c r="AA13">
        <f>SUM(AF13,AM13,AT13,BA13,BH13,BO13,BV13,CC13,CJ13)</f>
        <v>3235000</v>
      </c>
      <c r="AB13" t="s">
        <v>161</v>
      </c>
      <c r="AC13" t="s">
        <v>162</v>
      </c>
      <c r="AF13">
        <v>1000000</v>
      </c>
      <c r="AI13" t="s">
        <v>163</v>
      </c>
      <c r="AJ13" t="s">
        <v>162</v>
      </c>
      <c r="AM13">
        <v>0</v>
      </c>
      <c r="AP13" t="s">
        <v>164</v>
      </c>
      <c r="AQ13" t="s">
        <v>165</v>
      </c>
      <c r="AT13">
        <v>2135000</v>
      </c>
      <c r="AW13" t="s">
        <v>166</v>
      </c>
      <c r="AX13" t="s">
        <v>165</v>
      </c>
      <c r="BA13">
        <v>0</v>
      </c>
      <c r="BD13" t="s">
        <v>167</v>
      </c>
      <c r="BE13" t="s">
        <v>165</v>
      </c>
      <c r="BH13">
        <v>0</v>
      </c>
      <c r="BK13" t="s">
        <v>168</v>
      </c>
      <c r="BL13" t="s">
        <v>165</v>
      </c>
      <c r="BO13">
        <v>0</v>
      </c>
      <c r="BR13" t="s">
        <v>169</v>
      </c>
      <c r="BS13" t="s">
        <v>165</v>
      </c>
      <c r="BV13">
        <v>0</v>
      </c>
      <c r="BY13" t="s">
        <v>170</v>
      </c>
      <c r="BZ13" t="s">
        <v>165</v>
      </c>
      <c r="CC13">
        <v>0</v>
      </c>
      <c r="CF13" t="s">
        <v>171</v>
      </c>
      <c r="CG13" t="s">
        <v>171</v>
      </c>
      <c r="CJ13">
        <v>100000</v>
      </c>
      <c r="CK13">
        <v>0</v>
      </c>
      <c r="CN13" t="s">
        <v>172</v>
      </c>
      <c r="CO13" t="s">
        <v>241</v>
      </c>
      <c r="CS13" t="s">
        <v>242</v>
      </c>
      <c r="CT13">
        <v>0</v>
      </c>
    </row>
    <row r="14" spans="1:99" ht="90">
      <c r="A14" t="s">
        <v>243</v>
      </c>
      <c r="B14" t="s">
        <v>244</v>
      </c>
      <c r="C14" s="9" t="s">
        <v>245</v>
      </c>
      <c r="D14" t="s">
        <v>150</v>
      </c>
      <c r="F14" t="s">
        <v>151</v>
      </c>
      <c r="G14" t="s">
        <v>181</v>
      </c>
      <c r="I14" t="s">
        <v>153</v>
      </c>
      <c r="L14" t="s">
        <v>246</v>
      </c>
      <c r="P14">
        <v>1</v>
      </c>
      <c r="R14">
        <v>37.335900000000002</v>
      </c>
      <c r="S14">
        <v>-81.436400000000006</v>
      </c>
      <c r="T14" t="s">
        <v>184</v>
      </c>
      <c r="V14" t="s">
        <v>156</v>
      </c>
      <c r="W14" t="s">
        <v>157</v>
      </c>
      <c r="X14" t="s">
        <v>158</v>
      </c>
      <c r="Y14" t="s">
        <v>159</v>
      </c>
      <c r="Z14" t="s">
        <v>160</v>
      </c>
      <c r="AA14">
        <f>SUM(AF14,AM14,AT14,BA14,BH14,BO14,BV14,CC14,CJ14)</f>
        <v>1000000</v>
      </c>
      <c r="AB14" t="s">
        <v>161</v>
      </c>
      <c r="AC14" t="s">
        <v>162</v>
      </c>
      <c r="AF14">
        <v>500000</v>
      </c>
      <c r="AI14" t="s">
        <v>163</v>
      </c>
      <c r="AJ14" t="s">
        <v>162</v>
      </c>
      <c r="AM14">
        <v>0</v>
      </c>
      <c r="AP14" t="s">
        <v>164</v>
      </c>
      <c r="AQ14" t="s">
        <v>165</v>
      </c>
      <c r="AT14">
        <v>500000</v>
      </c>
      <c r="AW14" t="s">
        <v>166</v>
      </c>
      <c r="AX14" t="s">
        <v>165</v>
      </c>
      <c r="BA14">
        <v>0</v>
      </c>
      <c r="BD14" t="s">
        <v>167</v>
      </c>
      <c r="BE14" t="s">
        <v>165</v>
      </c>
      <c r="BH14">
        <v>0</v>
      </c>
      <c r="BK14" t="s">
        <v>168</v>
      </c>
      <c r="BL14" t="s">
        <v>165</v>
      </c>
      <c r="BO14">
        <v>0</v>
      </c>
      <c r="BR14" t="s">
        <v>169</v>
      </c>
      <c r="BS14" t="s">
        <v>165</v>
      </c>
      <c r="BV14">
        <v>0</v>
      </c>
      <c r="BY14" t="s">
        <v>170</v>
      </c>
      <c r="BZ14" t="s">
        <v>165</v>
      </c>
      <c r="CC14">
        <v>0</v>
      </c>
      <c r="CF14" t="s">
        <v>171</v>
      </c>
      <c r="CG14" t="s">
        <v>171</v>
      </c>
      <c r="CJ14">
        <v>0</v>
      </c>
      <c r="CK14">
        <v>0</v>
      </c>
      <c r="CN14" t="s">
        <v>172</v>
      </c>
      <c r="CO14" t="s">
        <v>214</v>
      </c>
      <c r="CS14" t="s">
        <v>247</v>
      </c>
      <c r="CT14">
        <v>0</v>
      </c>
    </row>
    <row r="15" spans="1:99" ht="45">
      <c r="A15" t="s">
        <v>248</v>
      </c>
      <c r="B15" t="s">
        <v>249</v>
      </c>
      <c r="C15" s="9" t="s">
        <v>250</v>
      </c>
      <c r="D15" t="s">
        <v>150</v>
      </c>
      <c r="F15" t="s">
        <v>151</v>
      </c>
      <c r="G15" t="s">
        <v>181</v>
      </c>
      <c r="I15" t="s">
        <v>153</v>
      </c>
      <c r="L15" t="s">
        <v>251</v>
      </c>
      <c r="P15">
        <v>3</v>
      </c>
      <c r="R15">
        <v>37.711399999999998</v>
      </c>
      <c r="S15">
        <v>-81.453800000000001</v>
      </c>
      <c r="T15" t="s">
        <v>184</v>
      </c>
      <c r="V15" t="s">
        <v>156</v>
      </c>
      <c r="W15" t="s">
        <v>157</v>
      </c>
      <c r="X15" t="s">
        <v>158</v>
      </c>
      <c r="Y15" t="s">
        <v>159</v>
      </c>
      <c r="Z15" t="s">
        <v>160</v>
      </c>
      <c r="AA15">
        <f>SUM(AF15,AM15,AT15,BA15,BH15,BO15,BV15,CC15,CJ15)</f>
        <v>5725000</v>
      </c>
      <c r="AB15" t="s">
        <v>161</v>
      </c>
      <c r="AC15" t="s">
        <v>162</v>
      </c>
      <c r="AF15">
        <v>1000000</v>
      </c>
      <c r="AI15" t="s">
        <v>163</v>
      </c>
      <c r="AJ15" t="s">
        <v>162</v>
      </c>
      <c r="AM15">
        <v>0</v>
      </c>
      <c r="AP15" t="s">
        <v>164</v>
      </c>
      <c r="AQ15" t="s">
        <v>165</v>
      </c>
      <c r="AT15">
        <v>2000000</v>
      </c>
      <c r="AW15" t="s">
        <v>166</v>
      </c>
      <c r="AX15" t="s">
        <v>165</v>
      </c>
      <c r="BA15">
        <v>0</v>
      </c>
      <c r="BD15" t="s">
        <v>167</v>
      </c>
      <c r="BE15" t="s">
        <v>165</v>
      </c>
      <c r="BH15">
        <v>0</v>
      </c>
      <c r="BK15" t="s">
        <v>168</v>
      </c>
      <c r="BL15" t="s">
        <v>165</v>
      </c>
      <c r="BO15">
        <v>1900000</v>
      </c>
      <c r="BR15" t="s">
        <v>169</v>
      </c>
      <c r="BS15" t="s">
        <v>165</v>
      </c>
      <c r="BV15">
        <v>0</v>
      </c>
      <c r="BY15" t="s">
        <v>170</v>
      </c>
      <c r="BZ15" t="s">
        <v>165</v>
      </c>
      <c r="CC15">
        <v>0</v>
      </c>
      <c r="CF15" t="s">
        <v>171</v>
      </c>
      <c r="CG15" t="s">
        <v>171</v>
      </c>
      <c r="CJ15">
        <v>825000</v>
      </c>
      <c r="CK15">
        <v>0</v>
      </c>
      <c r="CN15" t="s">
        <v>172</v>
      </c>
      <c r="CO15" t="s">
        <v>252</v>
      </c>
      <c r="CS15" t="s">
        <v>253</v>
      </c>
      <c r="CT15">
        <v>0</v>
      </c>
    </row>
    <row r="16" spans="1:99" ht="90">
      <c r="A16" t="s">
        <v>254</v>
      </c>
      <c r="B16" t="s">
        <v>255</v>
      </c>
      <c r="C16" s="9" t="s">
        <v>256</v>
      </c>
      <c r="D16" t="s">
        <v>150</v>
      </c>
      <c r="F16" t="s">
        <v>151</v>
      </c>
      <c r="G16" t="s">
        <v>152</v>
      </c>
      <c r="I16" t="s">
        <v>153</v>
      </c>
      <c r="L16" t="s">
        <v>230</v>
      </c>
      <c r="P16">
        <v>2</v>
      </c>
      <c r="R16">
        <v>38.404600000000002</v>
      </c>
      <c r="S16">
        <v>-81.524900000000002</v>
      </c>
      <c r="T16" t="s">
        <v>155</v>
      </c>
      <c r="V16" t="s">
        <v>156</v>
      </c>
      <c r="W16" t="s">
        <v>157</v>
      </c>
      <c r="X16" t="s">
        <v>158</v>
      </c>
      <c r="Y16" t="s">
        <v>159</v>
      </c>
      <c r="Z16" t="s">
        <v>160</v>
      </c>
      <c r="AA16">
        <f>SUM(AF16,AM16,AT16,BA16,BH16,BO16,BV16,CC16,CJ16)</f>
        <v>1203750</v>
      </c>
      <c r="AB16" t="s">
        <v>161</v>
      </c>
      <c r="AC16" t="s">
        <v>162</v>
      </c>
      <c r="AF16">
        <v>500000</v>
      </c>
      <c r="AI16" t="s">
        <v>163</v>
      </c>
      <c r="AJ16" t="s">
        <v>162</v>
      </c>
      <c r="AM16">
        <v>0</v>
      </c>
      <c r="AP16" t="s">
        <v>164</v>
      </c>
      <c r="AQ16" t="s">
        <v>165</v>
      </c>
      <c r="AT16">
        <v>578750</v>
      </c>
      <c r="AW16" t="s">
        <v>166</v>
      </c>
      <c r="AX16" t="s">
        <v>165</v>
      </c>
      <c r="BA16">
        <v>0</v>
      </c>
      <c r="BD16" t="s">
        <v>167</v>
      </c>
      <c r="BE16" t="s">
        <v>165</v>
      </c>
      <c r="BH16">
        <v>0</v>
      </c>
      <c r="BK16" t="s">
        <v>168</v>
      </c>
      <c r="BL16" t="s">
        <v>165</v>
      </c>
      <c r="BO16">
        <v>0</v>
      </c>
      <c r="BR16" t="s">
        <v>169</v>
      </c>
      <c r="BS16" t="s">
        <v>165</v>
      </c>
      <c r="BV16">
        <v>0</v>
      </c>
      <c r="BY16" t="s">
        <v>170</v>
      </c>
      <c r="BZ16" t="s">
        <v>165</v>
      </c>
      <c r="CC16">
        <v>0</v>
      </c>
      <c r="CF16" t="s">
        <v>171</v>
      </c>
      <c r="CG16" t="s">
        <v>171</v>
      </c>
      <c r="CJ16">
        <v>125000</v>
      </c>
      <c r="CK16">
        <v>0</v>
      </c>
      <c r="CN16" t="s">
        <v>172</v>
      </c>
      <c r="CO16" t="s">
        <v>214</v>
      </c>
      <c r="CP16" t="s">
        <v>174</v>
      </c>
      <c r="CQ16" t="s">
        <v>257</v>
      </c>
      <c r="CS16" t="s">
        <v>258</v>
      </c>
      <c r="CT16">
        <v>0</v>
      </c>
    </row>
    <row r="17" spans="1:98" ht="60">
      <c r="A17" t="s">
        <v>259</v>
      </c>
      <c r="B17" t="s">
        <v>260</v>
      </c>
      <c r="C17" s="9" t="s">
        <v>261</v>
      </c>
      <c r="D17" t="s">
        <v>150</v>
      </c>
      <c r="F17" t="s">
        <v>151</v>
      </c>
      <c r="G17" t="s">
        <v>181</v>
      </c>
      <c r="I17" t="s">
        <v>153</v>
      </c>
      <c r="L17" t="s">
        <v>207</v>
      </c>
      <c r="P17">
        <v>1</v>
      </c>
      <c r="R17">
        <v>39.213200000000001</v>
      </c>
      <c r="S17">
        <v>-81.649500000000003</v>
      </c>
      <c r="T17" t="s">
        <v>184</v>
      </c>
      <c r="V17" t="s">
        <v>156</v>
      </c>
      <c r="W17" t="s">
        <v>157</v>
      </c>
      <c r="X17" t="s">
        <v>158</v>
      </c>
      <c r="Y17" t="s">
        <v>159</v>
      </c>
      <c r="Z17" t="s">
        <v>160</v>
      </c>
      <c r="AA17">
        <f>SUM(AF17,AM17,AT17,BA17,BH17,BO17,BV17,CC17,CJ17)</f>
        <v>600000</v>
      </c>
      <c r="AB17" t="s">
        <v>161</v>
      </c>
      <c r="AC17" t="s">
        <v>162</v>
      </c>
      <c r="AF17">
        <v>300000</v>
      </c>
      <c r="AI17" t="s">
        <v>163</v>
      </c>
      <c r="AJ17" t="s">
        <v>162</v>
      </c>
      <c r="AM17">
        <v>0</v>
      </c>
      <c r="AP17" t="s">
        <v>164</v>
      </c>
      <c r="AQ17" t="s">
        <v>165</v>
      </c>
      <c r="AT17">
        <v>0</v>
      </c>
      <c r="AW17" t="s">
        <v>166</v>
      </c>
      <c r="AX17" t="s">
        <v>165</v>
      </c>
      <c r="BA17">
        <v>0</v>
      </c>
      <c r="BD17" t="s">
        <v>167</v>
      </c>
      <c r="BE17" t="s">
        <v>165</v>
      </c>
      <c r="BH17">
        <v>0</v>
      </c>
      <c r="BK17" t="s">
        <v>168</v>
      </c>
      <c r="BL17" t="s">
        <v>165</v>
      </c>
      <c r="BO17">
        <v>0</v>
      </c>
      <c r="BR17" t="s">
        <v>169</v>
      </c>
      <c r="BS17" t="s">
        <v>165</v>
      </c>
      <c r="BV17">
        <v>0</v>
      </c>
      <c r="BY17" t="s">
        <v>170</v>
      </c>
      <c r="BZ17" t="s">
        <v>165</v>
      </c>
      <c r="CC17">
        <v>0</v>
      </c>
      <c r="CF17" t="s">
        <v>171</v>
      </c>
      <c r="CG17" t="s">
        <v>171</v>
      </c>
      <c r="CJ17">
        <v>300000</v>
      </c>
      <c r="CK17">
        <v>0</v>
      </c>
      <c r="CN17" t="s">
        <v>172</v>
      </c>
      <c r="CO17" t="s">
        <v>262</v>
      </c>
      <c r="CS17" t="s">
        <v>263</v>
      </c>
      <c r="CT17">
        <v>6</v>
      </c>
    </row>
    <row r="18" spans="1:98" ht="90">
      <c r="A18" t="s">
        <v>264</v>
      </c>
      <c r="B18" t="s">
        <v>265</v>
      </c>
      <c r="C18" s="9" t="s">
        <v>266</v>
      </c>
      <c r="D18" t="s">
        <v>150</v>
      </c>
      <c r="F18" t="s">
        <v>151</v>
      </c>
      <c r="G18" t="s">
        <v>181</v>
      </c>
      <c r="I18" t="s">
        <v>182</v>
      </c>
      <c r="L18" t="s">
        <v>267</v>
      </c>
      <c r="P18">
        <v>1</v>
      </c>
      <c r="R18">
        <v>40.120600000000003</v>
      </c>
      <c r="S18">
        <v>-80.634</v>
      </c>
      <c r="T18" t="s">
        <v>184</v>
      </c>
      <c r="V18" t="s">
        <v>156</v>
      </c>
      <c r="W18" t="s">
        <v>157</v>
      </c>
      <c r="X18" t="s">
        <v>158</v>
      </c>
      <c r="Y18" t="s">
        <v>159</v>
      </c>
      <c r="Z18" t="s">
        <v>160</v>
      </c>
      <c r="AA18">
        <f>SUM(AF18,AM18,AT18,BA18,BH18,BO18,BV18,CC18,CJ18)</f>
        <v>159300</v>
      </c>
      <c r="AB18" t="s">
        <v>161</v>
      </c>
      <c r="AC18" t="s">
        <v>162</v>
      </c>
      <c r="AF18">
        <v>102377.5</v>
      </c>
      <c r="AI18" t="s">
        <v>163</v>
      </c>
      <c r="AJ18" t="s">
        <v>162</v>
      </c>
      <c r="AM18">
        <v>0</v>
      </c>
      <c r="AP18" t="s">
        <v>164</v>
      </c>
      <c r="AQ18" t="s">
        <v>165</v>
      </c>
      <c r="AT18">
        <v>0</v>
      </c>
      <c r="AW18" t="s">
        <v>166</v>
      </c>
      <c r="AX18" t="s">
        <v>165</v>
      </c>
      <c r="BA18">
        <v>0</v>
      </c>
      <c r="BD18" t="s">
        <v>167</v>
      </c>
      <c r="BE18" t="s">
        <v>165</v>
      </c>
      <c r="BH18">
        <v>0</v>
      </c>
      <c r="BK18" t="s">
        <v>168</v>
      </c>
      <c r="BL18" t="s">
        <v>165</v>
      </c>
      <c r="BO18">
        <v>0</v>
      </c>
      <c r="BR18" t="s">
        <v>169</v>
      </c>
      <c r="BS18" t="s">
        <v>165</v>
      </c>
      <c r="BV18">
        <v>0</v>
      </c>
      <c r="BY18" t="s">
        <v>170</v>
      </c>
      <c r="BZ18" t="s">
        <v>165</v>
      </c>
      <c r="CC18">
        <v>0</v>
      </c>
      <c r="CF18" t="s">
        <v>171</v>
      </c>
      <c r="CG18" t="s">
        <v>171</v>
      </c>
      <c r="CJ18">
        <v>56922.5</v>
      </c>
      <c r="CK18">
        <v>0</v>
      </c>
      <c r="CN18" t="s">
        <v>172</v>
      </c>
      <c r="CO18" t="s">
        <v>173</v>
      </c>
      <c r="CS18" t="s">
        <v>268</v>
      </c>
      <c r="CT18">
        <v>3</v>
      </c>
    </row>
    <row r="19" spans="1:98" ht="105">
      <c r="A19" t="s">
        <v>269</v>
      </c>
      <c r="B19" t="s">
        <v>270</v>
      </c>
      <c r="C19" s="9" t="s">
        <v>271</v>
      </c>
      <c r="D19" t="s">
        <v>150</v>
      </c>
      <c r="F19" t="s">
        <v>151</v>
      </c>
      <c r="G19" t="s">
        <v>181</v>
      </c>
      <c r="I19" t="s">
        <v>182</v>
      </c>
      <c r="L19" t="s">
        <v>272</v>
      </c>
      <c r="P19">
        <v>1</v>
      </c>
      <c r="R19">
        <v>39.530299999999997</v>
      </c>
      <c r="S19">
        <v>-79.797300000000007</v>
      </c>
      <c r="T19" t="s">
        <v>184</v>
      </c>
      <c r="V19" t="s">
        <v>156</v>
      </c>
      <c r="W19" t="s">
        <v>157</v>
      </c>
      <c r="X19" t="s">
        <v>158</v>
      </c>
      <c r="Y19" t="s">
        <v>159</v>
      </c>
      <c r="Z19" t="s">
        <v>160</v>
      </c>
      <c r="AA19">
        <f>SUM(AF19,AM19,AT19,BA19,BH19,BO19,BV19,CC19,CJ19)</f>
        <v>3000000</v>
      </c>
      <c r="AB19" t="s">
        <v>161</v>
      </c>
      <c r="AC19" t="s">
        <v>162</v>
      </c>
      <c r="AF19">
        <v>1000000</v>
      </c>
      <c r="AI19" t="s">
        <v>163</v>
      </c>
      <c r="AJ19" t="s">
        <v>162</v>
      </c>
      <c r="AM19">
        <v>0</v>
      </c>
      <c r="AP19" t="s">
        <v>164</v>
      </c>
      <c r="AQ19" t="s">
        <v>165</v>
      </c>
      <c r="AT19">
        <v>2000000</v>
      </c>
      <c r="AW19" t="s">
        <v>166</v>
      </c>
      <c r="AX19" t="s">
        <v>165</v>
      </c>
      <c r="BA19">
        <v>0</v>
      </c>
      <c r="BD19" t="s">
        <v>167</v>
      </c>
      <c r="BE19" t="s">
        <v>165</v>
      </c>
      <c r="BH19">
        <v>0</v>
      </c>
      <c r="BK19" t="s">
        <v>168</v>
      </c>
      <c r="BL19" t="s">
        <v>165</v>
      </c>
      <c r="BO19">
        <v>0</v>
      </c>
      <c r="BR19" t="s">
        <v>169</v>
      </c>
      <c r="BS19" t="s">
        <v>165</v>
      </c>
      <c r="BV19">
        <v>0</v>
      </c>
      <c r="BY19" t="s">
        <v>170</v>
      </c>
      <c r="BZ19" t="s">
        <v>165</v>
      </c>
      <c r="CC19">
        <v>0</v>
      </c>
      <c r="CF19" t="s">
        <v>171</v>
      </c>
      <c r="CG19" t="s">
        <v>171</v>
      </c>
      <c r="CJ19">
        <v>0</v>
      </c>
      <c r="CK19">
        <v>0</v>
      </c>
      <c r="CN19" t="s">
        <v>172</v>
      </c>
      <c r="CO19" t="s">
        <v>252</v>
      </c>
      <c r="CS19" t="s">
        <v>273</v>
      </c>
      <c r="CT19">
        <v>45</v>
      </c>
    </row>
    <row r="20" spans="1:98" ht="90">
      <c r="A20" t="s">
        <v>274</v>
      </c>
      <c r="B20" t="s">
        <v>275</v>
      </c>
      <c r="C20" s="9" t="s">
        <v>276</v>
      </c>
      <c r="D20" t="s">
        <v>150</v>
      </c>
      <c r="F20" t="s">
        <v>180</v>
      </c>
      <c r="G20" t="s">
        <v>181</v>
      </c>
      <c r="I20" t="s">
        <v>182</v>
      </c>
      <c r="L20" t="s">
        <v>240</v>
      </c>
      <c r="P20">
        <v>2</v>
      </c>
      <c r="R20">
        <v>38.999400000000001</v>
      </c>
      <c r="S20">
        <v>-80.384</v>
      </c>
      <c r="T20" t="s">
        <v>184</v>
      </c>
      <c r="V20" t="s">
        <v>156</v>
      </c>
      <c r="W20" t="s">
        <v>157</v>
      </c>
      <c r="X20" t="s">
        <v>158</v>
      </c>
      <c r="Y20" t="s">
        <v>159</v>
      </c>
      <c r="Z20" t="s">
        <v>160</v>
      </c>
      <c r="AA20">
        <f>SUM(AF20,AM20,AT20,BA20,BH20,BO20,BV20,CC20,CJ20)</f>
        <v>5700000</v>
      </c>
      <c r="AB20" t="s">
        <v>161</v>
      </c>
      <c r="AC20" t="s">
        <v>162</v>
      </c>
      <c r="AF20">
        <v>1000000</v>
      </c>
      <c r="AI20" t="s">
        <v>163</v>
      </c>
      <c r="AJ20" t="s">
        <v>162</v>
      </c>
      <c r="AM20">
        <v>0</v>
      </c>
      <c r="AP20" t="s">
        <v>164</v>
      </c>
      <c r="AQ20" t="s">
        <v>165</v>
      </c>
      <c r="AT20">
        <v>0</v>
      </c>
      <c r="AW20" t="s">
        <v>166</v>
      </c>
      <c r="AX20" t="s">
        <v>165</v>
      </c>
      <c r="BA20">
        <v>1500000</v>
      </c>
      <c r="BD20" t="s">
        <v>167</v>
      </c>
      <c r="BE20" t="s">
        <v>165</v>
      </c>
      <c r="BH20">
        <v>0</v>
      </c>
      <c r="BK20" t="s">
        <v>168</v>
      </c>
      <c r="BL20" t="s">
        <v>165</v>
      </c>
      <c r="BO20">
        <v>0</v>
      </c>
      <c r="BR20" t="s">
        <v>169</v>
      </c>
      <c r="BS20" t="s">
        <v>165</v>
      </c>
      <c r="BV20">
        <v>0</v>
      </c>
      <c r="BY20" t="s">
        <v>170</v>
      </c>
      <c r="BZ20" t="s">
        <v>165</v>
      </c>
      <c r="CC20">
        <v>0</v>
      </c>
      <c r="CF20" t="s">
        <v>171</v>
      </c>
      <c r="CG20" t="s">
        <v>171</v>
      </c>
      <c r="CJ20">
        <v>3200000</v>
      </c>
      <c r="CK20">
        <v>0</v>
      </c>
      <c r="CN20" t="s">
        <v>172</v>
      </c>
      <c r="CO20" t="s">
        <v>191</v>
      </c>
      <c r="CS20" t="s">
        <v>277</v>
      </c>
      <c r="CT20">
        <v>20</v>
      </c>
    </row>
    <row r="21" spans="1:98" ht="45">
      <c r="A21" t="s">
        <v>278</v>
      </c>
      <c r="B21" t="s">
        <v>279</v>
      </c>
      <c r="C21" s="9" t="s">
        <v>280</v>
      </c>
      <c r="D21" t="s">
        <v>150</v>
      </c>
      <c r="F21" t="s">
        <v>180</v>
      </c>
      <c r="G21" t="s">
        <v>152</v>
      </c>
      <c r="I21" t="s">
        <v>182</v>
      </c>
      <c r="L21" t="s">
        <v>281</v>
      </c>
      <c r="P21">
        <v>1</v>
      </c>
      <c r="R21">
        <v>39.159700000000001</v>
      </c>
      <c r="S21">
        <v>-79.493399999999994</v>
      </c>
      <c r="T21" t="s">
        <v>155</v>
      </c>
      <c r="V21" t="s">
        <v>156</v>
      </c>
      <c r="W21" t="s">
        <v>157</v>
      </c>
      <c r="X21" t="s">
        <v>158</v>
      </c>
      <c r="Y21" t="s">
        <v>159</v>
      </c>
      <c r="Z21" t="s">
        <v>160</v>
      </c>
      <c r="AA21">
        <f>SUM(AF21,AM21,AT21,BA21,BH21,BO21,BV21,CC21,CJ21)</f>
        <v>1530000</v>
      </c>
      <c r="AB21" t="s">
        <v>161</v>
      </c>
      <c r="AC21" t="s">
        <v>162</v>
      </c>
      <c r="AF21">
        <v>500000</v>
      </c>
      <c r="AI21" t="s">
        <v>163</v>
      </c>
      <c r="AJ21" t="s">
        <v>162</v>
      </c>
      <c r="AM21">
        <v>1030000</v>
      </c>
      <c r="AP21" t="s">
        <v>164</v>
      </c>
      <c r="AQ21" t="s">
        <v>165</v>
      </c>
      <c r="AT21">
        <v>0</v>
      </c>
      <c r="AW21" t="s">
        <v>166</v>
      </c>
      <c r="AX21" t="s">
        <v>165</v>
      </c>
      <c r="BA21">
        <v>0</v>
      </c>
      <c r="BD21" t="s">
        <v>167</v>
      </c>
      <c r="BE21" t="s">
        <v>165</v>
      </c>
      <c r="BH21">
        <v>0</v>
      </c>
      <c r="BK21" t="s">
        <v>168</v>
      </c>
      <c r="BL21" t="s">
        <v>165</v>
      </c>
      <c r="BO21">
        <v>0</v>
      </c>
      <c r="BR21" t="s">
        <v>169</v>
      </c>
      <c r="BS21" t="s">
        <v>165</v>
      </c>
      <c r="BV21">
        <v>0</v>
      </c>
      <c r="BY21" t="s">
        <v>170</v>
      </c>
      <c r="BZ21" t="s">
        <v>165</v>
      </c>
      <c r="CC21">
        <v>0</v>
      </c>
      <c r="CF21" t="s">
        <v>171</v>
      </c>
      <c r="CG21" t="s">
        <v>171</v>
      </c>
      <c r="CJ21">
        <v>0</v>
      </c>
      <c r="CK21">
        <v>0</v>
      </c>
      <c r="CN21" t="s">
        <v>172</v>
      </c>
      <c r="CO21" t="s">
        <v>282</v>
      </c>
      <c r="CP21" t="s">
        <v>174</v>
      </c>
      <c r="CQ21" t="s">
        <v>283</v>
      </c>
      <c r="CS21" t="s">
        <v>284</v>
      </c>
      <c r="CT21">
        <v>0</v>
      </c>
    </row>
    <row r="22" spans="1:98" ht="45">
      <c r="A22" t="s">
        <v>285</v>
      </c>
      <c r="B22" t="s">
        <v>286</v>
      </c>
      <c r="C22" s="9" t="s">
        <v>287</v>
      </c>
      <c r="D22" t="s">
        <v>150</v>
      </c>
      <c r="F22" t="s">
        <v>180</v>
      </c>
      <c r="G22" t="s">
        <v>181</v>
      </c>
      <c r="I22" t="s">
        <v>182</v>
      </c>
      <c r="L22" t="s">
        <v>288</v>
      </c>
      <c r="P22">
        <v>1</v>
      </c>
      <c r="R22">
        <v>39.3172</v>
      </c>
      <c r="S22">
        <v>-80.497</v>
      </c>
      <c r="T22" t="s">
        <v>184</v>
      </c>
      <c r="V22" t="s">
        <v>156</v>
      </c>
      <c r="W22" t="s">
        <v>157</v>
      </c>
      <c r="X22" t="s">
        <v>158</v>
      </c>
      <c r="Y22" t="s">
        <v>159</v>
      </c>
      <c r="Z22" t="s">
        <v>160</v>
      </c>
      <c r="AA22">
        <f>SUM(AF22,AM22,AT22,BA22,BH22,BO22,BV22,CC22,CJ22)</f>
        <v>1900000</v>
      </c>
      <c r="AB22" t="s">
        <v>161</v>
      </c>
      <c r="AC22" t="s">
        <v>162</v>
      </c>
      <c r="AF22">
        <v>1900000</v>
      </c>
      <c r="AI22" t="s">
        <v>163</v>
      </c>
      <c r="AJ22" t="s">
        <v>162</v>
      </c>
      <c r="AM22">
        <v>0</v>
      </c>
      <c r="AP22" t="s">
        <v>164</v>
      </c>
      <c r="AQ22" t="s">
        <v>165</v>
      </c>
      <c r="AT22">
        <v>0</v>
      </c>
      <c r="AW22" t="s">
        <v>166</v>
      </c>
      <c r="AX22" t="s">
        <v>165</v>
      </c>
      <c r="BA22">
        <v>0</v>
      </c>
      <c r="BD22" t="s">
        <v>167</v>
      </c>
      <c r="BE22" t="s">
        <v>165</v>
      </c>
      <c r="BH22">
        <v>0</v>
      </c>
      <c r="BK22" t="s">
        <v>168</v>
      </c>
      <c r="BL22" t="s">
        <v>165</v>
      </c>
      <c r="BO22">
        <v>0</v>
      </c>
      <c r="BR22" t="s">
        <v>169</v>
      </c>
      <c r="BS22" t="s">
        <v>165</v>
      </c>
      <c r="BV22">
        <v>0</v>
      </c>
      <c r="BY22" t="s">
        <v>170</v>
      </c>
      <c r="BZ22" t="s">
        <v>165</v>
      </c>
      <c r="CC22">
        <v>0</v>
      </c>
      <c r="CF22" t="s">
        <v>171</v>
      </c>
      <c r="CG22" t="s">
        <v>171</v>
      </c>
      <c r="CJ22">
        <v>0</v>
      </c>
      <c r="CK22">
        <v>0</v>
      </c>
      <c r="CN22" t="s">
        <v>172</v>
      </c>
      <c r="CO22" t="s">
        <v>241</v>
      </c>
      <c r="CS22" t="s">
        <v>289</v>
      </c>
      <c r="CT22">
        <v>20</v>
      </c>
    </row>
    <row r="23" spans="1:98" ht="90">
      <c r="A23" t="s">
        <v>290</v>
      </c>
      <c r="B23" t="s">
        <v>291</v>
      </c>
      <c r="C23" s="9" t="s">
        <v>292</v>
      </c>
      <c r="D23" t="s">
        <v>150</v>
      </c>
      <c r="F23" t="s">
        <v>180</v>
      </c>
      <c r="G23" t="s">
        <v>181</v>
      </c>
      <c r="I23" t="s">
        <v>182</v>
      </c>
      <c r="L23" t="s">
        <v>293</v>
      </c>
      <c r="P23">
        <v>0</v>
      </c>
      <c r="R23">
        <v>38.923900000000003</v>
      </c>
      <c r="S23">
        <v>-79.749200000000002</v>
      </c>
      <c r="T23" t="s">
        <v>184</v>
      </c>
      <c r="V23" t="s">
        <v>156</v>
      </c>
      <c r="W23" t="s">
        <v>157</v>
      </c>
      <c r="X23" t="s">
        <v>158</v>
      </c>
      <c r="Y23" t="s">
        <v>159</v>
      </c>
      <c r="Z23" t="s">
        <v>160</v>
      </c>
      <c r="AA23">
        <f>SUM(AF23,AM23,AT23,BA23,BH23,BO23,BV23,CC23,CJ23)</f>
        <v>2400000</v>
      </c>
      <c r="AB23" t="s">
        <v>161</v>
      </c>
      <c r="AC23" t="s">
        <v>162</v>
      </c>
      <c r="AF23">
        <v>512500</v>
      </c>
      <c r="AI23" t="s">
        <v>163</v>
      </c>
      <c r="AJ23" t="s">
        <v>162</v>
      </c>
      <c r="AM23">
        <v>0</v>
      </c>
      <c r="AP23" t="s">
        <v>164</v>
      </c>
      <c r="AQ23" t="s">
        <v>165</v>
      </c>
      <c r="AT23">
        <v>0</v>
      </c>
      <c r="AW23" t="s">
        <v>166</v>
      </c>
      <c r="AX23" t="s">
        <v>165</v>
      </c>
      <c r="BA23">
        <v>1875000</v>
      </c>
      <c r="BD23" t="s">
        <v>167</v>
      </c>
      <c r="BE23" t="s">
        <v>165</v>
      </c>
      <c r="BH23">
        <v>0</v>
      </c>
      <c r="BK23" t="s">
        <v>168</v>
      </c>
      <c r="BL23" t="s">
        <v>165</v>
      </c>
      <c r="BO23">
        <v>0</v>
      </c>
      <c r="BR23" t="s">
        <v>169</v>
      </c>
      <c r="BS23" t="s">
        <v>165</v>
      </c>
      <c r="BV23">
        <v>0</v>
      </c>
      <c r="BY23" t="s">
        <v>170</v>
      </c>
      <c r="BZ23" t="s">
        <v>165</v>
      </c>
      <c r="CC23">
        <v>0</v>
      </c>
      <c r="CF23" t="s">
        <v>171</v>
      </c>
      <c r="CG23" t="s">
        <v>171</v>
      </c>
      <c r="CJ23">
        <v>12500</v>
      </c>
      <c r="CK23">
        <v>0</v>
      </c>
      <c r="CN23" t="s">
        <v>172</v>
      </c>
      <c r="CO23" t="s">
        <v>294</v>
      </c>
      <c r="CS23" t="s">
        <v>295</v>
      </c>
      <c r="CT23">
        <v>28</v>
      </c>
    </row>
    <row r="24" spans="1:98" ht="90">
      <c r="A24" t="s">
        <v>296</v>
      </c>
      <c r="B24" t="s">
        <v>297</v>
      </c>
      <c r="C24" s="9" t="s">
        <v>298</v>
      </c>
      <c r="D24" t="s">
        <v>150</v>
      </c>
      <c r="F24" t="s">
        <v>151</v>
      </c>
      <c r="G24" t="s">
        <v>181</v>
      </c>
      <c r="I24" t="s">
        <v>182</v>
      </c>
      <c r="L24" t="s">
        <v>154</v>
      </c>
      <c r="P24">
        <v>3</v>
      </c>
      <c r="R24">
        <v>37.351381886666502</v>
      </c>
      <c r="S24">
        <v>-81.799254952058803</v>
      </c>
      <c r="T24" t="s">
        <v>184</v>
      </c>
      <c r="V24" t="s">
        <v>156</v>
      </c>
      <c r="W24" t="s">
        <v>157</v>
      </c>
      <c r="X24" t="s">
        <v>158</v>
      </c>
      <c r="Y24" t="s">
        <v>159</v>
      </c>
      <c r="Z24" t="s">
        <v>160</v>
      </c>
      <c r="AA24">
        <f>SUM(AF24,AM24,AT24,BA24,BH24,BO24,BV24,CC24,CJ24)</f>
        <v>219047</v>
      </c>
      <c r="AB24" t="s">
        <v>161</v>
      </c>
      <c r="AC24" t="s">
        <v>162</v>
      </c>
      <c r="AF24">
        <v>219047</v>
      </c>
      <c r="AI24" t="s">
        <v>163</v>
      </c>
      <c r="AJ24" t="s">
        <v>162</v>
      </c>
      <c r="AM24">
        <v>0</v>
      </c>
      <c r="AP24" t="s">
        <v>164</v>
      </c>
      <c r="AQ24" t="s">
        <v>165</v>
      </c>
      <c r="AT24">
        <v>0</v>
      </c>
      <c r="AW24" t="s">
        <v>166</v>
      </c>
      <c r="AX24" t="s">
        <v>165</v>
      </c>
      <c r="BA24">
        <v>0</v>
      </c>
      <c r="BD24" t="s">
        <v>167</v>
      </c>
      <c r="BE24" t="s">
        <v>165</v>
      </c>
      <c r="BH24">
        <v>0</v>
      </c>
      <c r="BK24" t="s">
        <v>168</v>
      </c>
      <c r="BL24" t="s">
        <v>165</v>
      </c>
      <c r="BO24">
        <v>0</v>
      </c>
      <c r="BR24" t="s">
        <v>169</v>
      </c>
      <c r="BS24" t="s">
        <v>165</v>
      </c>
      <c r="BV24">
        <v>0</v>
      </c>
      <c r="BY24" t="s">
        <v>170</v>
      </c>
      <c r="BZ24" t="s">
        <v>165</v>
      </c>
      <c r="CC24">
        <v>0</v>
      </c>
      <c r="CF24" t="s">
        <v>171</v>
      </c>
      <c r="CG24" t="s">
        <v>171</v>
      </c>
      <c r="CJ24">
        <v>0</v>
      </c>
      <c r="CK24">
        <v>0</v>
      </c>
      <c r="CN24" t="s">
        <v>172</v>
      </c>
      <c r="CO24" t="s">
        <v>299</v>
      </c>
      <c r="CS24" t="s">
        <v>300</v>
      </c>
    </row>
    <row r="25" spans="1:98" ht="90">
      <c r="A25" t="s">
        <v>301</v>
      </c>
      <c r="B25" t="s">
        <v>302</v>
      </c>
      <c r="C25" s="9" t="s">
        <v>303</v>
      </c>
      <c r="D25" t="s">
        <v>150</v>
      </c>
      <c r="F25" t="s">
        <v>151</v>
      </c>
      <c r="G25" t="s">
        <v>181</v>
      </c>
      <c r="I25" t="s">
        <v>182</v>
      </c>
      <c r="L25" t="s">
        <v>304</v>
      </c>
      <c r="R25">
        <v>38.666956554553501</v>
      </c>
      <c r="S25">
        <v>-80.715644810829104</v>
      </c>
      <c r="T25" t="s">
        <v>184</v>
      </c>
      <c r="V25" t="s">
        <v>156</v>
      </c>
      <c r="W25" t="s">
        <v>157</v>
      </c>
      <c r="X25" t="s">
        <v>158</v>
      </c>
      <c r="Y25" t="s">
        <v>159</v>
      </c>
      <c r="Z25" t="s">
        <v>160</v>
      </c>
      <c r="AA25">
        <f>SUM(AF25,AM25,AT25,BA25,BH25,BO25,BV25,CC25,CJ25)</f>
        <v>17810</v>
      </c>
      <c r="AB25" t="s">
        <v>161</v>
      </c>
      <c r="AC25" t="s">
        <v>162</v>
      </c>
      <c r="AF25">
        <v>17810</v>
      </c>
      <c r="AI25" t="s">
        <v>163</v>
      </c>
      <c r="AJ25" t="s">
        <v>162</v>
      </c>
      <c r="AM25">
        <v>0</v>
      </c>
      <c r="AP25" t="s">
        <v>164</v>
      </c>
      <c r="AQ25" t="s">
        <v>165</v>
      </c>
      <c r="AT25">
        <v>0</v>
      </c>
      <c r="AW25" t="s">
        <v>166</v>
      </c>
      <c r="AX25" t="s">
        <v>165</v>
      </c>
      <c r="BA25">
        <v>0</v>
      </c>
      <c r="BD25" t="s">
        <v>167</v>
      </c>
      <c r="BE25" t="s">
        <v>165</v>
      </c>
      <c r="BH25">
        <v>0</v>
      </c>
      <c r="BK25" t="s">
        <v>168</v>
      </c>
      <c r="BL25" t="s">
        <v>165</v>
      </c>
      <c r="BO25">
        <v>0</v>
      </c>
      <c r="BR25" t="s">
        <v>169</v>
      </c>
      <c r="BS25" t="s">
        <v>165</v>
      </c>
      <c r="BV25">
        <v>0</v>
      </c>
      <c r="BY25" t="s">
        <v>170</v>
      </c>
      <c r="BZ25" t="s">
        <v>165</v>
      </c>
      <c r="CC25">
        <v>0</v>
      </c>
      <c r="CF25" t="s">
        <v>171</v>
      </c>
      <c r="CG25" t="s">
        <v>171</v>
      </c>
      <c r="CJ25">
        <v>0</v>
      </c>
      <c r="CK25">
        <v>0</v>
      </c>
      <c r="CN25" t="s">
        <v>172</v>
      </c>
      <c r="CO25" t="s">
        <v>299</v>
      </c>
      <c r="CS25" t="s">
        <v>305</v>
      </c>
    </row>
    <row r="26" spans="1:98" ht="60">
      <c r="A26" t="s">
        <v>306</v>
      </c>
      <c r="B26" t="s">
        <v>307</v>
      </c>
      <c r="C26" s="9" t="s">
        <v>308</v>
      </c>
      <c r="D26" t="s">
        <v>150</v>
      </c>
      <c r="F26" t="s">
        <v>151</v>
      </c>
      <c r="G26" t="s">
        <v>181</v>
      </c>
      <c r="L26" t="s">
        <v>309</v>
      </c>
      <c r="R26">
        <v>39.018355723098999</v>
      </c>
      <c r="S26">
        <v>-82.033036651878106</v>
      </c>
      <c r="T26" t="s">
        <v>184</v>
      </c>
      <c r="V26" t="s">
        <v>156</v>
      </c>
      <c r="W26" t="s">
        <v>157</v>
      </c>
      <c r="X26" t="s">
        <v>158</v>
      </c>
      <c r="Y26" t="s">
        <v>159</v>
      </c>
      <c r="Z26" t="s">
        <v>160</v>
      </c>
      <c r="AA26">
        <f>SUM(AF26,AM26,AT26,BA26,BH26,BO26,BV26,CC26,CJ26)</f>
        <v>290000</v>
      </c>
      <c r="AB26" t="s">
        <v>161</v>
      </c>
      <c r="AC26" t="s">
        <v>162</v>
      </c>
      <c r="AF26">
        <v>290000</v>
      </c>
      <c r="AI26" t="s">
        <v>163</v>
      </c>
      <c r="AJ26" t="s">
        <v>162</v>
      </c>
      <c r="AM26">
        <v>0</v>
      </c>
      <c r="AP26" t="s">
        <v>164</v>
      </c>
      <c r="AQ26" t="s">
        <v>165</v>
      </c>
      <c r="AT26">
        <v>0</v>
      </c>
      <c r="AW26" t="s">
        <v>166</v>
      </c>
      <c r="AX26" t="s">
        <v>165</v>
      </c>
      <c r="BA26">
        <v>0</v>
      </c>
      <c r="BD26" t="s">
        <v>167</v>
      </c>
      <c r="BE26" t="s">
        <v>165</v>
      </c>
      <c r="BH26">
        <v>0</v>
      </c>
      <c r="BK26" t="s">
        <v>168</v>
      </c>
      <c r="BL26" t="s">
        <v>165</v>
      </c>
      <c r="BO26">
        <v>0</v>
      </c>
      <c r="BR26" t="s">
        <v>169</v>
      </c>
      <c r="BS26" t="s">
        <v>165</v>
      </c>
      <c r="BV26">
        <v>0</v>
      </c>
      <c r="BY26" t="s">
        <v>170</v>
      </c>
      <c r="BZ26" t="s">
        <v>165</v>
      </c>
      <c r="CC26">
        <v>0</v>
      </c>
      <c r="CF26" t="s">
        <v>171</v>
      </c>
      <c r="CG26" t="s">
        <v>171</v>
      </c>
      <c r="CJ26">
        <v>0</v>
      </c>
      <c r="CK26">
        <v>0</v>
      </c>
      <c r="CN26" t="s">
        <v>172</v>
      </c>
      <c r="CO26" t="s">
        <v>310</v>
      </c>
      <c r="CS26" t="s">
        <v>311</v>
      </c>
    </row>
    <row r="27" spans="1:98" ht="90">
      <c r="A27" t="s">
        <v>312</v>
      </c>
      <c r="B27" t="s">
        <v>313</v>
      </c>
      <c r="C27" s="9" t="s">
        <v>314</v>
      </c>
      <c r="D27" t="s">
        <v>150</v>
      </c>
      <c r="F27" t="s">
        <v>151</v>
      </c>
      <c r="G27" t="s">
        <v>315</v>
      </c>
      <c r="L27" t="s">
        <v>224</v>
      </c>
      <c r="P27">
        <v>0</v>
      </c>
      <c r="R27">
        <v>39.077930378000602</v>
      </c>
      <c r="S27">
        <v>-80.135703068802698</v>
      </c>
      <c r="T27" t="s">
        <v>316</v>
      </c>
      <c r="V27" t="s">
        <v>156</v>
      </c>
      <c r="W27" t="s">
        <v>157</v>
      </c>
      <c r="X27" t="s">
        <v>158</v>
      </c>
      <c r="Y27" t="s">
        <v>159</v>
      </c>
      <c r="Z27" t="s">
        <v>160</v>
      </c>
      <c r="AA27">
        <f>SUM(AF27,AM27,AT27,BA27,BH27,BO27,BV27,CC27,CJ27)</f>
        <v>50000</v>
      </c>
      <c r="AB27" t="s">
        <v>161</v>
      </c>
      <c r="AC27" t="s">
        <v>162</v>
      </c>
      <c r="AF27">
        <v>25000</v>
      </c>
      <c r="AI27" t="s">
        <v>163</v>
      </c>
      <c r="AJ27" t="s">
        <v>162</v>
      </c>
      <c r="AM27">
        <v>0</v>
      </c>
      <c r="AP27" t="s">
        <v>164</v>
      </c>
      <c r="AQ27" t="s">
        <v>165</v>
      </c>
      <c r="AT27">
        <v>0</v>
      </c>
      <c r="AW27" t="s">
        <v>166</v>
      </c>
      <c r="AX27" t="s">
        <v>165</v>
      </c>
      <c r="BA27">
        <v>0</v>
      </c>
      <c r="BD27" t="s">
        <v>167</v>
      </c>
      <c r="BE27" t="s">
        <v>165</v>
      </c>
      <c r="BH27">
        <v>0</v>
      </c>
      <c r="BK27" t="s">
        <v>168</v>
      </c>
      <c r="BL27" t="s">
        <v>165</v>
      </c>
      <c r="BO27">
        <v>0</v>
      </c>
      <c r="BR27" t="s">
        <v>169</v>
      </c>
      <c r="BS27" t="s">
        <v>165</v>
      </c>
      <c r="BV27">
        <v>0</v>
      </c>
      <c r="BY27" t="s">
        <v>170</v>
      </c>
      <c r="BZ27" t="s">
        <v>165</v>
      </c>
      <c r="CC27">
        <v>0</v>
      </c>
      <c r="CF27" t="s">
        <v>171</v>
      </c>
      <c r="CG27" t="s">
        <v>171</v>
      </c>
      <c r="CJ27">
        <v>25000</v>
      </c>
      <c r="CK27">
        <v>0</v>
      </c>
      <c r="CN27" t="s">
        <v>172</v>
      </c>
      <c r="CO27" t="s">
        <v>191</v>
      </c>
      <c r="CS27" t="s">
        <v>317</v>
      </c>
      <c r="CT27">
        <v>0</v>
      </c>
    </row>
    <row r="28" spans="1:98" ht="90">
      <c r="A28" t="s">
        <v>318</v>
      </c>
      <c r="B28" t="s">
        <v>319</v>
      </c>
      <c r="C28" s="9" t="s">
        <v>320</v>
      </c>
      <c r="D28" t="s">
        <v>150</v>
      </c>
      <c r="F28" t="s">
        <v>180</v>
      </c>
      <c r="G28" t="s">
        <v>152</v>
      </c>
      <c r="L28" t="s">
        <v>321</v>
      </c>
      <c r="P28">
        <v>2</v>
      </c>
      <c r="R28">
        <v>38.644050446839799</v>
      </c>
      <c r="S28">
        <v>-79.331103114876299</v>
      </c>
      <c r="T28" t="s">
        <v>155</v>
      </c>
      <c r="V28" t="s">
        <v>156</v>
      </c>
      <c r="W28" t="s">
        <v>157</v>
      </c>
      <c r="X28" t="s">
        <v>158</v>
      </c>
      <c r="Y28" t="s">
        <v>159</v>
      </c>
      <c r="Z28" t="s">
        <v>160</v>
      </c>
      <c r="AA28">
        <f>SUM(AF28,AM28,AT28,BA28,BH28,BO28,BV28,CC28,CJ28)</f>
        <v>100000</v>
      </c>
      <c r="AB28" t="s">
        <v>161</v>
      </c>
      <c r="AC28" t="s">
        <v>162</v>
      </c>
      <c r="AF28">
        <v>100000</v>
      </c>
      <c r="AI28" t="s">
        <v>163</v>
      </c>
      <c r="AJ28" t="s">
        <v>162</v>
      </c>
      <c r="AM28">
        <v>0</v>
      </c>
      <c r="AP28" t="s">
        <v>164</v>
      </c>
      <c r="AQ28" t="s">
        <v>165</v>
      </c>
      <c r="AT28">
        <v>0</v>
      </c>
      <c r="AW28" t="s">
        <v>166</v>
      </c>
      <c r="AX28" t="s">
        <v>165</v>
      </c>
      <c r="BA28">
        <v>0</v>
      </c>
      <c r="BD28" t="s">
        <v>167</v>
      </c>
      <c r="BE28" t="s">
        <v>165</v>
      </c>
      <c r="BH28">
        <v>0</v>
      </c>
      <c r="BK28" t="s">
        <v>168</v>
      </c>
      <c r="BL28" t="s">
        <v>165</v>
      </c>
      <c r="BO28">
        <v>0</v>
      </c>
      <c r="BR28" t="s">
        <v>169</v>
      </c>
      <c r="BS28" t="s">
        <v>165</v>
      </c>
      <c r="BV28">
        <v>0</v>
      </c>
      <c r="BY28" t="s">
        <v>170</v>
      </c>
      <c r="BZ28" t="s">
        <v>165</v>
      </c>
      <c r="CC28">
        <v>0</v>
      </c>
      <c r="CF28" t="s">
        <v>171</v>
      </c>
      <c r="CG28" t="s">
        <v>171</v>
      </c>
      <c r="CJ28">
        <v>0</v>
      </c>
      <c r="CK28">
        <v>0</v>
      </c>
      <c r="CN28" t="s">
        <v>172</v>
      </c>
      <c r="CO28" t="s">
        <v>322</v>
      </c>
      <c r="CP28" t="s">
        <v>174</v>
      </c>
      <c r="CS28" t="s">
        <v>323</v>
      </c>
    </row>
    <row r="29" spans="1:98" ht="45">
      <c r="A29" t="s">
        <v>324</v>
      </c>
      <c r="B29" t="s">
        <v>325</v>
      </c>
      <c r="C29" s="9" t="s">
        <v>326</v>
      </c>
      <c r="D29" t="s">
        <v>150</v>
      </c>
      <c r="F29" t="s">
        <v>180</v>
      </c>
      <c r="G29" t="s">
        <v>152</v>
      </c>
      <c r="L29" t="s">
        <v>327</v>
      </c>
      <c r="P29">
        <v>3</v>
      </c>
      <c r="R29">
        <v>37.789887330639999</v>
      </c>
      <c r="S29">
        <v>-82.349375969519699</v>
      </c>
      <c r="T29" t="s">
        <v>155</v>
      </c>
      <c r="V29" t="s">
        <v>156</v>
      </c>
      <c r="W29" t="s">
        <v>157</v>
      </c>
      <c r="X29" t="s">
        <v>158</v>
      </c>
      <c r="Y29" t="s">
        <v>159</v>
      </c>
      <c r="Z29" t="s">
        <v>160</v>
      </c>
      <c r="AA29">
        <f>SUM(AF29,AM29,AT29,BA29,BH29,BO29,BV29,CC29,CJ29)</f>
        <v>300000</v>
      </c>
      <c r="AB29" t="s">
        <v>161</v>
      </c>
      <c r="AC29" t="s">
        <v>162</v>
      </c>
      <c r="AF29">
        <v>300000</v>
      </c>
      <c r="AI29" t="s">
        <v>163</v>
      </c>
      <c r="AJ29" t="s">
        <v>162</v>
      </c>
      <c r="AM29">
        <v>0</v>
      </c>
      <c r="AP29" t="s">
        <v>164</v>
      </c>
      <c r="AQ29" t="s">
        <v>165</v>
      </c>
      <c r="AT29">
        <v>0</v>
      </c>
      <c r="AW29" t="s">
        <v>166</v>
      </c>
      <c r="AX29" t="s">
        <v>165</v>
      </c>
      <c r="BA29">
        <v>0</v>
      </c>
      <c r="BD29" t="s">
        <v>167</v>
      </c>
      <c r="BE29" t="s">
        <v>165</v>
      </c>
      <c r="BH29">
        <v>0</v>
      </c>
      <c r="BK29" t="s">
        <v>168</v>
      </c>
      <c r="BL29" t="s">
        <v>165</v>
      </c>
      <c r="BO29">
        <v>0</v>
      </c>
      <c r="BR29" t="s">
        <v>169</v>
      </c>
      <c r="BS29" t="s">
        <v>165</v>
      </c>
      <c r="BV29">
        <v>0</v>
      </c>
      <c r="BY29" t="s">
        <v>170</v>
      </c>
      <c r="BZ29" t="s">
        <v>165</v>
      </c>
      <c r="CC29">
        <v>0</v>
      </c>
      <c r="CF29" t="s">
        <v>171</v>
      </c>
      <c r="CG29" t="s">
        <v>171</v>
      </c>
      <c r="CJ29">
        <v>0</v>
      </c>
      <c r="CK29">
        <v>0</v>
      </c>
      <c r="CN29" t="s">
        <v>172</v>
      </c>
      <c r="CO29" t="s">
        <v>328</v>
      </c>
      <c r="CP29" t="s">
        <v>174</v>
      </c>
      <c r="CS29" t="s">
        <v>329</v>
      </c>
    </row>
    <row r="30" spans="1:98" ht="90">
      <c r="A30" t="s">
        <v>330</v>
      </c>
      <c r="B30" t="s">
        <v>331</v>
      </c>
      <c r="C30" s="9" t="s">
        <v>332</v>
      </c>
      <c r="D30" t="s">
        <v>150</v>
      </c>
      <c r="F30" t="s">
        <v>180</v>
      </c>
      <c r="G30" t="s">
        <v>152</v>
      </c>
      <c r="L30" t="s">
        <v>327</v>
      </c>
      <c r="P30">
        <v>3</v>
      </c>
      <c r="R30">
        <v>37.789887330639999</v>
      </c>
      <c r="S30">
        <v>-82.349375969519699</v>
      </c>
      <c r="T30" t="s">
        <v>184</v>
      </c>
      <c r="V30" t="s">
        <v>156</v>
      </c>
      <c r="W30" t="s">
        <v>157</v>
      </c>
      <c r="X30" t="s">
        <v>158</v>
      </c>
      <c r="Y30" t="s">
        <v>159</v>
      </c>
      <c r="Z30" t="s">
        <v>160</v>
      </c>
      <c r="AA30">
        <f>SUM(AF30,AM30,AT30,BA30,BH30,BO30,BV30,CC30,CJ30)</f>
        <v>195684</v>
      </c>
      <c r="AB30" t="s">
        <v>161</v>
      </c>
      <c r="AC30" t="s">
        <v>162</v>
      </c>
      <c r="AF30">
        <v>195684</v>
      </c>
      <c r="AI30" t="s">
        <v>163</v>
      </c>
      <c r="AJ30" t="s">
        <v>162</v>
      </c>
      <c r="AM30">
        <v>0</v>
      </c>
      <c r="AP30" t="s">
        <v>164</v>
      </c>
      <c r="AQ30" t="s">
        <v>165</v>
      </c>
      <c r="AT30">
        <v>0</v>
      </c>
      <c r="AW30" t="s">
        <v>166</v>
      </c>
      <c r="AX30" t="s">
        <v>165</v>
      </c>
      <c r="BA30">
        <v>0</v>
      </c>
      <c r="BD30" t="s">
        <v>167</v>
      </c>
      <c r="BE30" t="s">
        <v>165</v>
      </c>
      <c r="BH30">
        <v>0</v>
      </c>
      <c r="BK30" t="s">
        <v>168</v>
      </c>
      <c r="BL30" t="s">
        <v>165</v>
      </c>
      <c r="BO30">
        <v>0</v>
      </c>
      <c r="BR30" t="s">
        <v>169</v>
      </c>
      <c r="BS30" t="s">
        <v>165</v>
      </c>
      <c r="BV30">
        <v>0</v>
      </c>
      <c r="BY30" t="s">
        <v>170</v>
      </c>
      <c r="BZ30" t="s">
        <v>165</v>
      </c>
      <c r="CC30">
        <v>0</v>
      </c>
      <c r="CF30" t="s">
        <v>171</v>
      </c>
      <c r="CG30" t="s">
        <v>171</v>
      </c>
      <c r="CJ30">
        <v>0</v>
      </c>
      <c r="CK30">
        <v>0</v>
      </c>
      <c r="CN30" t="s">
        <v>172</v>
      </c>
      <c r="CO30" t="s">
        <v>299</v>
      </c>
      <c r="CP30" t="s">
        <v>174</v>
      </c>
      <c r="CS30" t="s">
        <v>329</v>
      </c>
    </row>
  </sheetData>
  <phoneticPr fontId="7"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B7CF637BCEFDC4B8F5BC95FC9E616FB" ma:contentTypeVersion="3" ma:contentTypeDescription="Create a new document." ma:contentTypeScope="" ma:versionID="2ecfbd80afd7ed4e817202aa1ab2d363">
  <xsd:schema xmlns:xsd="http://www.w3.org/2001/XMLSchema" xmlns:xs="http://www.w3.org/2001/XMLSchema" xmlns:p="http://schemas.microsoft.com/office/2006/metadata/properties" xmlns:ns2="a5fabac5-0908-4d1b-9feb-6d210e8fc95c" targetNamespace="http://schemas.microsoft.com/office/2006/metadata/properties" ma:root="true" ma:fieldsID="de72509cb730d3ca7cb47d1662231690" ns2:_="">
    <xsd:import namespace="a5fabac5-0908-4d1b-9feb-6d210e8fc95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5fabac5-0908-4d1b-9feb-6d210e8fc95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C5FD23F-056E-486F-B6D0-0C2D8203EB9A}"/>
</file>

<file path=customXml/itemProps2.xml><?xml version="1.0" encoding="utf-8"?>
<ds:datastoreItem xmlns:ds="http://schemas.openxmlformats.org/officeDocument/2006/customXml" ds:itemID="{10EAA368-D430-4C1C-AE8B-4796FFAB37F7}"/>
</file>

<file path=customXml/itemProps3.xml><?xml version="1.0" encoding="utf-8"?>
<ds:datastoreItem xmlns:ds="http://schemas.openxmlformats.org/officeDocument/2006/customXml" ds:itemID="{5FBCED87-FB69-4508-ABFC-A4380D08310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Moore, Chance</dc:creator>
  <cp:keywords/>
  <dc:description/>
  <cp:lastModifiedBy>Gonguela, Aires</cp:lastModifiedBy>
  <cp:revision/>
  <dcterms:created xsi:type="dcterms:W3CDTF">2026-06-16T13:08:52Z</dcterms:created>
  <dcterms:modified xsi:type="dcterms:W3CDTF">2026-08-19T12:29:46Z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0x0101007B7CF637BCEFDC4B8F5BC95FC9E616FB</vt:lpwstr>
  </property>
</Properties>
</file>