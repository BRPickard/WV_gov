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aecom.sharepoint.com/sites/WVDOHIIJA/Shared Documents/General/400_Technical/432_Website and Dashboards/WV Commerce Grants Calendar/SourceData/"/>
    </mc:Choice>
  </mc:AlternateContent>
  <xr:revisionPtr revIDLastSave="11" documentId="8_{413A795C-C965-47C3-AD47-1050E0489242}" xr6:coauthVersionLast="47" xr6:coauthVersionMax="47" xr10:uidLastSave="{36DE607A-4A94-45DE-AA3F-02C9ED85323C}"/>
  <bookViews>
    <workbookView xWindow="28680" yWindow="930" windowWidth="29040" windowHeight="15720" activeTab="2" xr2:uid="{72A79F31-71B2-41E6-92AE-E018B100B4CA}"/>
  </bookViews>
  <sheets>
    <sheet name="Instructions" sheetId="3" r:id="rId1"/>
    <sheet name="Program" sheetId="2" r:id="rId2"/>
    <sheet name="Dates" sheetId="1" r:id="rId3"/>
    <sheet name="Dropdowns" sheetId="4" state="hidden" r:id="rId4"/>
  </sheets>
  <definedNames>
    <definedName name="_xlnm._FilterDatabase" localSheetId="2" hidden="1">Dates!$A$1:$U$5</definedName>
    <definedName name="_xlnm._FilterDatabase" localSheetId="1" hidden="1">Program!$A$1:$I$8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<sst xmlns="http://schemas.openxmlformats.org/spreadsheetml/2006/main" count="127" uniqueCount="77">
  <si>
    <t>Instructions</t>
  </si>
  <si>
    <t>If it's desired to have multiple values in the Category and/or Recipient fields, care must be taken when entering values to ensure that they are entered identically each time as semicolon-separated values (e.g., "State" not "state" or "States")</t>
  </si>
  <si>
    <t xml:space="preserve">2. After ensuring that the program has been entered on the "Program" worksheet, add the relevant dates to the "Dates" worksheet and assign it to the correct fiscal year (in the case of grants cycles that repeat each year). </t>
  </si>
  <si>
    <t>Columns for additional "cycle stages" date types can be added, in consulatation with team. For legibility, it's suggested to keep it to &lt;10 total stages.</t>
  </si>
  <si>
    <t>Grant Name</t>
  </si>
  <si>
    <t>Administrator</t>
  </si>
  <si>
    <t>Description</t>
  </si>
  <si>
    <t>Eligible Uses</t>
  </si>
  <si>
    <t>Category (semi-colon separated)</t>
  </si>
  <si>
    <t>Regional</t>
  </si>
  <si>
    <t>Federal</t>
  </si>
  <si>
    <t>State</t>
  </si>
  <si>
    <t>Fiscal Year</t>
  </si>
  <si>
    <t>LOI Collection Start</t>
  </si>
  <si>
    <t>LOI Collection End</t>
  </si>
  <si>
    <t>LOI Review Start</t>
  </si>
  <si>
    <t>LOI Review End</t>
  </si>
  <si>
    <t>Application Period Start</t>
  </si>
  <si>
    <t>Application Period End</t>
  </si>
  <si>
    <t>Awards Start</t>
  </si>
  <si>
    <t>Awards End</t>
  </si>
  <si>
    <t>Implementation Start</t>
  </si>
  <si>
    <t>Implementation End</t>
  </si>
  <si>
    <t>FY26</t>
  </si>
  <si>
    <t>FY27</t>
  </si>
  <si>
    <t>FY24</t>
  </si>
  <si>
    <t>FY25</t>
  </si>
  <si>
    <t>FY28</t>
  </si>
  <si>
    <t>FY29</t>
  </si>
  <si>
    <t xml:space="preserve">The overall objective of this FOA will be to accelerate the safe and socially equitable deployment of one of the nation’s most promising decarbonization solutions, CCS, by establishing technical teams possessing both (a) expertise and experience in carbon transport and geologic storage, and (b) the capability to offer technical and community support services and information sharing to CCS and storage-based CDR stakeholders. Another objective of this FOA is to enhance geological data gathering, analysis, and sharing in areas where individual or hub-scale storage facilities are likely to emerge. Therefore, projects under this FOA are sought for two areas of interest: • Area of Interest 1 (AOI 1) - Technical Assistance and Public Engagement for Geologic CO2 Storage and Transport at Large Scale Storage Facilities or within Prospective Regional CM Hubs and • Area of Interest 2 (AOI 2)- State Geological Data Gathering, Analysis, Sharing, and Engagement  </t>
  </si>
  <si>
    <t>The USGS Cooperative Landslide Hazard Mapping and Assessment Program requests applicants address risk reduction activities that aim to advance landslide science and communication that underlie the priorities of the National Landslide Preparedness Act by focusing on landslide hazard planning, coordination, education, outreach, mapping, and assessments. These risk reduction activities, called Guidance Criteria, reflect the National Landslide Preparedness Act and the National Strategy for Landslide Loss Reduction, which support the mission of the LHP to reduce loss of lives and property from landslides and improve public safety and community resilience of the Nation.</t>
  </si>
  <si>
    <t>The STATEMAP Program, required and defined by the National Geologic Mapping Act (Public Law 102-285), also carries out National Cooperative Geologic Mapping Program (NCGMP)’s mission and supports Department of the Interior Secretarial priorities (see https://www.doi.gov/ourpriorities) by developing a national geologic framework through the generation of 2D and 3D geologic map databases. The geologic mapping supported by STATEMAP provides the foundational information necessary to manage the Nation’s land and water resources, adapt to changes in the environment, and secure the Nation. Geologic maps and associated STATEMAP products provide the data necessary to assess our natural resources, including critical and rare earth minerals, protect our waters, and maintain the health of our ecosystems. STATEMAP mapping efforts continue to support the development of modern infrastructure, including highways, bridges, and pipelines in almost every State by providing information necessary for land-use planning, as well as the exploration of aggregate resources and building materials. Additionally, as many STATEMAP projects occur on, over, or near Tribal Lands, the Program directly supports the fulfillment of the federal trust responsibility to Tribal Nations, supporting Tribal sovereignty and science needs by integrating Tribal input on geologic mapping proposed by State Geological Surveys. STATEMAP funding also helps to maintain strong geologic mapping programs and a steady workforce at geological surveys across the Nation.</t>
  </si>
  <si>
    <t>TRI-STATE CarbonSAFE project, complimentary to the State of West Virginia's Carbon management goals. Developing an improved understanding of West Virginia's pore space network, subsurface storage inventory, and source-sink matching. Building the State's 3D /geocellular modeling capabilities, and data compliation for spatial analysis, long-term archiving, and sample perservation.</t>
  </si>
  <si>
    <t>Contractual particpant in the West Virginia Water Research Inistitute's (WVWRI) Watershed Scale Restoration Project. The WVGES provides data and contributes technical expertise to support evaluation of watershed-scale restoration of acid mine drainiage (AMD) impacted watersheds in West Virginia. This includes watershed characterization and preliminary treatment design.</t>
  </si>
  <si>
    <t>The National Geological and Geophysical Data Preservation Program (NGGDPP) was established and authorized in Section 351 of the Energy Policy Act of 2005 (Public Law 109-58, Sec. 351) and reauthorized in Section 7002 of the Consolidated Appropriations Act, 2021 (Public Law 116-260), and amended by the Infrastructure Investment and Jobs Act, 2022 (Public Law 117-58) which recognizes the need for the preservation, cataloging of and access to geological and geophysical data and materials for research and education use. The objectives of the Program as outlined in the Act are to:
1. archive geologic, geophysical, and engineering data, maps, well logs, and samples;
2. provide a national catalog of such archival material; and
3. provide technical and financial assistance related to the archival material.
4. provide for preservation of samples to track geochemical signatures from critical mineral (as defined in section 7002(a) of the Energy Act of 2020 (30 U.S.C. 1606(a))) ore bodies for use in provenance tracking frameworks.</t>
  </si>
  <si>
    <t>Pre-Application Period Start</t>
  </si>
  <si>
    <t>Pre-Application Period End</t>
  </si>
  <si>
    <t>Pre-Application Review Start</t>
  </si>
  <si>
    <t>Pre-Application Review End</t>
  </si>
  <si>
    <t>Funding Available</t>
  </si>
  <si>
    <t>NIST Congressionally Directed Spending Award</t>
  </si>
  <si>
    <t>State Government</t>
  </si>
  <si>
    <t>USGS Cooperative Landslide Hazard Mapping and Assessment Program</t>
  </si>
  <si>
    <t>CarbonSAFE</t>
  </si>
  <si>
    <t>STATEMAP</t>
  </si>
  <si>
    <t>WVU Water Resources Initiative</t>
  </si>
  <si>
    <t>Regional Initiative to Accelerate Carbon Capture, Utilization, and Storage Deployment</t>
  </si>
  <si>
    <t>National Geological and Geophysical Data Preservation Program</t>
  </si>
  <si>
    <t>Application Type</t>
  </si>
  <si>
    <t>Prime Award Application</t>
  </si>
  <si>
    <t>Prime Application (State Pass-through)</t>
  </si>
  <si>
    <t>Subaward Application</t>
  </si>
  <si>
    <t>Prime Recipient Type (semi-colon separated)</t>
  </si>
  <si>
    <t>Subrecipients / Beneficiaries (semi-colon separated)</t>
  </si>
  <si>
    <t>Questions / Comments</t>
  </si>
  <si>
    <t>Appears to be Federal grant program (DOE). Updated Admin field accordingly</t>
  </si>
  <si>
    <t>Assuming this is a typical earmark, we can exclude from the tracker</t>
  </si>
  <si>
    <t>Appears to be Federal funding from BIL. Updated Admin field accordingly</t>
  </si>
  <si>
    <t>1.  On the "Program" worksheet, enter each grant program information on its own row (i.e., one row per grant program, even if there are multiple application cycles over one or more fiscal years).  If your division participates as both the prime recipient and then administers a subaward process to subrecipients, each should be entered as its own row with indication in the program name for which phase it is.</t>
  </si>
  <si>
    <t xml:space="preserve">None </t>
  </si>
  <si>
    <t>Carbon Storage and Analysis</t>
  </si>
  <si>
    <t>Geological and Geophysical Data Preservation</t>
  </si>
  <si>
    <t>Geological Hazard Mapping</t>
  </si>
  <si>
    <t>Congressionally Directed 2023 for Geological Sample Storage Enhancement</t>
  </si>
  <si>
    <t>Geologic Mapping</t>
  </si>
  <si>
    <t xml:space="preserve">Geologic Sampling and Analysis </t>
  </si>
  <si>
    <t>Personnel, Research Supplies, Software, Equipment, Contractual Services</t>
  </si>
  <si>
    <t>Personnel, Preservation Supplies, Software, Equipment</t>
  </si>
  <si>
    <t>Personnel, Contractual Services</t>
  </si>
  <si>
    <t>Administration, Buildings, Construction, Repairs and Alterations, Equipment</t>
  </si>
  <si>
    <t>Personnel, Research Supplies, Software, Equpment, and Contractual Services</t>
  </si>
  <si>
    <t>Personnel, Research Supplies, Software, Equipment, Travel</t>
  </si>
  <si>
    <t>Personnel, Research Supplies, Travel</t>
  </si>
  <si>
    <t>Governor Review Start</t>
  </si>
  <si>
    <t>Governor Review End</t>
  </si>
  <si>
    <t>Final Governor Review Start</t>
  </si>
  <si>
    <t>Final Governor Review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</si>
</sst>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5" formatCode="_(&quot;$&quot;* #,##0_);_(&quot;$&quot;* \(#,##0\);_(&quot;$&quot;* &quot;-&quot;??_);_(@_)"/>
  </numFmts>
  <fonts count="12" x14ac:knownFonts="1">
    <font>
      <sz val="11"/>
      <color theme="1"/>
      <name val="Aptos Narrow"/>
      <family val="2"/>
      <scheme val="minor"/>
    </font>
    <font>
      <b/>
      <sz val="11"/>
      <color theme="1"/>
      <name val="Aptos Narrow"/>
      <family val="2"/>
      <scheme val="minor"/>
    </font>
    <font>
      <b/>
      <sz val="15"/>
      <color theme="3"/>
      <name val="Aptos Narrow"/>
      <family val="2"/>
      <scheme val="minor"/>
    </font>
    <font>
      <sz val="11"/>
      <color theme="0"/>
      <name val="Aptos Narrow"/>
      <family val="2"/>
      <scheme val="minor"/>
    </font>
    <font>
      <b/>
      <sz val="15"/>
      <color theme="0"/>
      <name val="Arial"/>
      <family val="2"/>
    </font>
    <font>
      <sz val="8"/>
      <name val="Aptos Narrow"/>
      <family val="2"/>
      <scheme val="minor"/>
    </font>
    <font>
      <i/>
      <sz val="11"/>
      <color theme="1"/>
      <name val="Aptos Narrow"/>
      <family val="2"/>
      <scheme val="minor"/>
    </font>
    <font>
      <b/>
      <sz val="10"/>
      <color theme="0"/>
      <name val="Arial"/>
      <family val="2"/>
    </font>
    <font>
      <sz val="11"/>
      <color theme="1"/>
      <name val="Arial"/>
      <family val="2"/>
    </font>
    <font>
      <b/>
      <sz val="11"/>
      <color theme="1"/>
      <name val="Arial"/>
      <family val="2"/>
    </font>
    <font>
      <sz val="11"/>
      <color rgb="FFFF0000"/>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008768"/>
        <bgColor indexed="64"/>
      </patternFill>
    </fill>
    <fill>
      <patternFill patternType="solid">
        <fgColor rgb="FFFFFF00"/>
        <bgColor indexed="64"/>
      </patternFill>
    </fill>
  </fills>
  <borders count="2">
    <border>
      <left/>
      <right/>
      <top/>
      <bottom/>
      <diagonal/>
    </border>
    <border>
      <left/>
      <right/>
      <top/>
      <bottom style="thick">
        <color theme="4"/>
      </bottom>
      <diagonal/>
    </border>
  </borders>
  <cellStyleXfs count="3">
    <xf numFmtId="0" fontId="0" fillId="0" borderId="0"/>
    <xf numFmtId="0" fontId="2" fillId="0" borderId="1" applyNumberFormat="0" applyFill="0" applyAlignment="0" applyProtection="0"/>
    <xf numFmtId="44" fontId="11" fillId="0" borderId="0" applyFont="0" applyFill="0" applyBorder="0" applyAlignment="0" applyProtection="0"/>
  </cellStyleXfs>
  <cellXfs count="22">
    <xf numFmtId="0" fontId="0" fillId="0" borderId="0" xfId="0"/>
    <xf numFmtId="0" fontId="1" fillId="0" borderId="0" xfId="0" applyFont="1" applyAlignment="1">
      <alignment wrapText="1"/>
    </xf>
    <xf numFmtId="0" fontId="0" fillId="2" borderId="0" xfId="0" applyFill="1" applyAlignment="1">
      <alignment vertical="top"/>
    </xf>
    <xf numFmtId="49" fontId="3" fillId="2" borderId="0" xfId="0" applyNumberFormat="1" applyFont="1" applyFill="1" applyAlignment="1">
      <alignment vertical="top" wrapText="1"/>
    </xf>
    <xf numFmtId="0" fontId="0" fillId="2" borderId="0" xfId="0" applyFill="1"/>
    <xf numFmtId="49" fontId="4" fillId="2" borderId="0" xfId="1" applyNumberFormat="1" applyFont="1" applyFill="1" applyBorder="1" applyAlignment="1">
      <alignment wrapText="1"/>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6" fillId="0" borderId="0" xfId="0" applyFont="1" applyAlignment="1">
      <alignment horizontal="left" wrapText="1" indent="4"/>
    </xf>
    <xf numFmtId="49" fontId="7" fillId="2" borderId="0" xfId="1" applyNumberFormat="1" applyFont="1" applyFill="1" applyBorder="1" applyAlignment="1">
      <alignment wrapText="1"/>
    </xf>
    <xf numFmtId="0" fontId="8" fillId="0" borderId="0" xfId="0" applyFont="1"/>
    <xf numFmtId="0" fontId="8" fillId="0" borderId="0" xfId="0" applyFont="1" applyAlignment="1">
      <alignment vertical="center"/>
    </xf>
    <xf numFmtId="0" fontId="8" fillId="0" borderId="0" xfId="0" applyFont="1" applyAlignment="1">
      <alignment vertical="center" wrapText="1"/>
    </xf>
    <xf numFmtId="0" fontId="9" fillId="0" borderId="0" xfId="0" applyFont="1" applyAlignment="1">
      <alignment vertical="center"/>
    </xf>
    <xf numFmtId="14" fontId="8" fillId="0" borderId="0" xfId="0" applyNumberFormat="1" applyFont="1"/>
    <xf numFmtId="14" fontId="0" fillId="0" borderId="0" xfId="0" applyNumberFormat="1"/>
    <xf numFmtId="0" fontId="1" fillId="0" borderId="0" xfId="0" applyFont="1"/>
    <xf numFmtId="0" fontId="10" fillId="3" borderId="0" xfId="0" applyFont="1" applyFill="1" applyAlignment="1">
      <alignment wrapText="1"/>
    </xf>
    <xf numFmtId="165" fontId="7" fillId="2" borderId="0" xfId="2" applyNumberFormat="1" applyFont="1" applyFill="1" applyBorder="1" applyAlignment="1">
      <alignment wrapText="1"/>
    </xf>
    <xf numFmtId="165" fontId="8" fillId="0" borderId="0" xfId="2" applyNumberFormat="1" applyFont="1"/>
    <xf numFmtId="165" fontId="0" fillId="0" borderId="0" xfId="2" applyNumberFormat="1" applyFont="1"/>
  </cellXfs>
  <cellStyles count="3">
    <cellStyle name="Currency" xfId="2" builtinId="4"/>
    <cellStyle name="Heading 1" xfId="1" builtinId="1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9E2F9-0C43-4C63-8D84-216097B56DB1}">
  <dimension ref="A1:B6"/>
  <sheetViews>
    <sheetView workbookViewId="0">
      <selection activeCell="B3" sqref="A1:XFD1048576"/>
    </sheetView>
  </sheetViews>
  <sheetFormatPr defaultRowHeight="15" x14ac:dyDescent="0.25"/>
  <cols>
    <col min="1" max="1" width="2.7109375" customWidth="1"/>
    <col min="2" max="2" width="111.7109375" customWidth="1"/>
  </cols>
  <sheetData>
    <row r="1" spans="1:2" x14ac:dyDescent="0.25">
      <c r="A1" s="2"/>
      <c r="B1" s="3"/>
    </row>
    <row r="2" spans="1:2" ht="19.5" x14ac:dyDescent="0.3">
      <c r="A2" s="4"/>
      <c r="B2" s="5" t="s">
        <v>0</v>
      </c>
    </row>
    <row r="3" spans="1:2" ht="60" x14ac:dyDescent="0.25">
      <c r="B3" s="6" t="s">
        <v>58</v>
      </c>
    </row>
    <row r="4" spans="1:2" ht="30" x14ac:dyDescent="0.25">
      <c r="B4" s="9" t="s">
        <v>1</v>
      </c>
    </row>
    <row r="5" spans="1:2" ht="30" x14ac:dyDescent="0.25">
      <c r="B5" s="6" t="s">
        <v>2</v>
      </c>
    </row>
    <row r="6" spans="1:2" ht="30" x14ac:dyDescent="0.25">
      <c r="B6" s="9"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0625B-D717-4D80-B1CB-C027E2277DEE}">
  <dimension ref="A1:I8"/>
  <sheetViews>
    <sheetView zoomScale="85" zoomScaleNormal="85" workbookViewId="0">
      <pane xSplit="1" ySplit="1" topLeftCell="C4" activePane="bottomRight" state="frozen"/>
      <selection pane="topRight" activeCell="B1" sqref="B1"/>
      <selection pane="bottomLeft" activeCell="A2" sqref="A2"/>
      <selection pane="bottomRight" activeCell="G8" sqref="G8"/>
    </sheetView>
  </sheetViews>
  <sheetFormatPr defaultColWidth="9.140625" defaultRowHeight="15" x14ac:dyDescent="0.25"/>
  <cols>
    <col min="1" max="1" width="61" style="7" customWidth="1"/>
    <col min="2" max="2" width="133.7109375" style="8" customWidth="1"/>
    <col min="3" max="3" width="48" style="8" customWidth="1"/>
    <col min="4" max="4" width="36.85546875" style="8" customWidth="1"/>
    <col min="5" max="5" width="16.7109375" style="7" customWidth="1"/>
    <col min="6" max="6" width="16.7109375" style="8" customWidth="1"/>
    <col min="7" max="7" width="37.85546875" style="8" bestFit="1" customWidth="1"/>
    <col min="8" max="8" width="29.28515625" style="7" customWidth="1"/>
    <col min="9" max="9" width="40.5703125" style="8" customWidth="1"/>
    <col min="10" max="16384" width="9.140625" style="7"/>
  </cols>
  <sheetData>
    <row r="1" spans="1:9" customFormat="1" ht="30" x14ac:dyDescent="0.25">
      <c r="A1" s="10" t="s">
        <v>4</v>
      </c>
      <c r="B1" s="10" t="s">
        <v>6</v>
      </c>
      <c r="C1" s="10" t="s">
        <v>7</v>
      </c>
      <c r="D1" s="10" t="s">
        <v>8</v>
      </c>
      <c r="E1" s="18" t="s">
        <v>5</v>
      </c>
      <c r="F1" s="18" t="s">
        <v>48</v>
      </c>
      <c r="G1" s="18" t="s">
        <v>52</v>
      </c>
      <c r="H1" s="18" t="s">
        <v>53</v>
      </c>
      <c r="I1" s="18" t="s">
        <v>54</v>
      </c>
    </row>
    <row r="2" spans="1:9" ht="114" x14ac:dyDescent="0.2">
      <c r="A2" s="11" t="s">
        <v>46</v>
      </c>
      <c r="B2" s="13" t="s">
        <v>29</v>
      </c>
      <c r="C2" s="13" t="s">
        <v>66</v>
      </c>
      <c r="D2" s="13" t="s">
        <v>60</v>
      </c>
      <c r="E2" s="12" t="s">
        <v>10</v>
      </c>
      <c r="F2" s="13" t="s">
        <v>49</v>
      </c>
      <c r="G2" s="13" t="s">
        <v>41</v>
      </c>
      <c r="H2" s="7" t="s">
        <v>59</v>
      </c>
      <c r="I2" s="8" t="s">
        <v>55</v>
      </c>
    </row>
    <row r="3" spans="1:9" ht="142.5" x14ac:dyDescent="0.25">
      <c r="A3" s="12" t="s">
        <v>47</v>
      </c>
      <c r="B3" s="13" t="s">
        <v>34</v>
      </c>
      <c r="C3" s="13" t="s">
        <v>67</v>
      </c>
      <c r="D3" s="13" t="s">
        <v>61</v>
      </c>
      <c r="E3" s="12" t="s">
        <v>10</v>
      </c>
      <c r="F3" s="13" t="s">
        <v>49</v>
      </c>
      <c r="G3" s="13" t="s">
        <v>41</v>
      </c>
      <c r="H3" s="7" t="s">
        <v>59</v>
      </c>
    </row>
    <row r="4" spans="1:9" ht="71.25" x14ac:dyDescent="0.25">
      <c r="A4" s="14" t="s">
        <v>42</v>
      </c>
      <c r="B4" s="13" t="s">
        <v>30</v>
      </c>
      <c r="C4" s="13" t="s">
        <v>68</v>
      </c>
      <c r="D4" s="13" t="s">
        <v>62</v>
      </c>
      <c r="E4" s="12" t="s">
        <v>10</v>
      </c>
      <c r="F4" s="13" t="s">
        <v>49</v>
      </c>
      <c r="G4" s="13" t="s">
        <v>41</v>
      </c>
      <c r="H4" s="7" t="s">
        <v>59</v>
      </c>
    </row>
    <row r="5" spans="1:9" ht="42.75" x14ac:dyDescent="0.25">
      <c r="A5" s="12" t="s">
        <v>40</v>
      </c>
      <c r="B5" s="13"/>
      <c r="C5" s="13" t="s">
        <v>69</v>
      </c>
      <c r="D5" s="13" t="s">
        <v>63</v>
      </c>
      <c r="E5" s="12" t="s">
        <v>10</v>
      </c>
      <c r="F5" s="13"/>
      <c r="G5" s="13"/>
      <c r="H5" s="7" t="s">
        <v>59</v>
      </c>
      <c r="I5" s="8" t="s">
        <v>56</v>
      </c>
    </row>
    <row r="6" spans="1:9" ht="42.75" x14ac:dyDescent="0.25">
      <c r="A6" s="14" t="s">
        <v>43</v>
      </c>
      <c r="B6" s="13" t="s">
        <v>32</v>
      </c>
      <c r="C6" s="13" t="s">
        <v>70</v>
      </c>
      <c r="D6" s="13" t="s">
        <v>60</v>
      </c>
      <c r="E6" s="12" t="s">
        <v>10</v>
      </c>
      <c r="F6" s="13" t="s">
        <v>49</v>
      </c>
      <c r="G6" s="13" t="s">
        <v>41</v>
      </c>
      <c r="H6" s="7" t="s">
        <v>59</v>
      </c>
      <c r="I6" s="8" t="s">
        <v>55</v>
      </c>
    </row>
    <row r="7" spans="1:9" ht="171" x14ac:dyDescent="0.25">
      <c r="A7" s="14" t="s">
        <v>44</v>
      </c>
      <c r="B7" s="13" t="s">
        <v>31</v>
      </c>
      <c r="C7" s="13" t="s">
        <v>71</v>
      </c>
      <c r="D7" s="13" t="s">
        <v>64</v>
      </c>
      <c r="E7" s="12" t="s">
        <v>10</v>
      </c>
      <c r="F7" s="13" t="s">
        <v>49</v>
      </c>
      <c r="G7" s="13" t="s">
        <v>41</v>
      </c>
      <c r="H7" s="7" t="s">
        <v>59</v>
      </c>
    </row>
    <row r="8" spans="1:9" ht="42.75" x14ac:dyDescent="0.25">
      <c r="A8" s="12" t="s">
        <v>45</v>
      </c>
      <c r="B8" s="13" t="s">
        <v>33</v>
      </c>
      <c r="C8" s="13" t="s">
        <v>72</v>
      </c>
      <c r="D8" s="13" t="s">
        <v>65</v>
      </c>
      <c r="E8" s="12" t="s">
        <v>10</v>
      </c>
      <c r="F8" s="13" t="s">
        <v>49</v>
      </c>
      <c r="G8" s="13" t="s">
        <v>41</v>
      </c>
      <c r="H8" s="7" t="s">
        <v>59</v>
      </c>
      <c r="I8" s="8" t="s">
        <v>57</v>
      </c>
    </row>
  </sheetData>
  <autoFilter ref="A1:I8" xr:uid="{4BA0625B-D717-4D80-B1CB-C027E2277DEE}">
    <sortState xmlns:xlrd2="http://schemas.microsoft.com/office/spreadsheetml/2017/richdata2" ref="A2:I8">
      <sortCondition ref="E1:E8"/>
    </sortState>
  </autoFilter>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9E999FD-8182-453E-836F-CD0C5881BFB3}">
          <x14:formula1>
            <xm:f>Dropdowns!$A$2:$A$4</xm:f>
          </x14:formula1>
          <xm:sqref>E2:E1048576</xm:sqref>
        </x14:dataValidation>
        <x14:dataValidation type="list" allowBlank="1" showInputMessage="1" showErrorMessage="1" xr:uid="{DC12591B-088F-48D0-95B2-D69F8D1987E0}">
          <x14:formula1>
            <xm:f>Dropdowns!$E$2:$E$4</xm:f>
          </x14:formula1>
          <xm:sqref>F2:F1048576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CD8AE-5E8B-4B10-9FA0-957FC49C37EB}">
  <dimension ref="A1:U11"/>
  <sheetViews>
    <sheetView tabSelected="1" workbookViewId="0">
      <pane xSplit="1" ySplit="1" topLeftCell="C2" activePane="bottomRight" state="frozen"/>
      <selection pane="topRight" activeCell="B1" sqref="B1"/>
      <selection pane="bottomLeft" activeCell="A2" sqref="A2"/>
      <selection pane="bottomRight" activeCell="A6" sqref="A6"/>
    </sheetView>
  </sheetViews>
  <sheetFormatPr defaultRowHeight="15" x14ac:dyDescent="0.25"/>
  <cols>
    <col min="1" max="1" width="89.42578125" bestFit="1" customWidth="1"/>
    <col min="2" max="2" width="14.85546875" style="21" customWidth="1"/>
    <col min="3" max="3" width="12.5703125" customWidth="1"/>
    <col min="4" max="21" width="11.28515625" customWidth="1"/>
  </cols>
  <sheetData>
    <row r="1" spans="1:21" s="1" customFormat="1" ht="51.75" x14ac:dyDescent="0.25">
      <c r="A1" s="10" t="s">
        <v>4</v>
      </c>
      <c r="B1" s="19" t="s">
        <v>39</v>
      </c>
      <c r="C1" s="10" t="s">
        <v>12</v>
      </c>
      <c r="D1" s="10" t="s">
        <v>13</v>
      </c>
      <c r="E1" s="10" t="s">
        <v>14</v>
      </c>
      <c r="F1" s="10" t="s">
        <v>15</v>
      </c>
      <c r="G1" s="10" t="s">
        <v>16</v>
      </c>
      <c r="H1" s="10" t="s">
        <v>35</v>
      </c>
      <c r="I1" s="10" t="s">
        <v>36</v>
      </c>
      <c r="J1" s="10" t="s">
        <v>37</v>
      </c>
      <c r="K1" s="10" t="s">
        <v>38</v>
      </c>
      <c r="L1" s="10" t="s">
        <v>17</v>
      </c>
      <c r="M1" s="10" t="s">
        <v>18</v>
      </c>
      <c r="N1" s="10" t="s">
        <v>73</v>
      </c>
      <c r="O1" s="10" t="s">
        <v>74</v>
      </c>
      <c r="P1" s="10" t="s">
        <v>75</v>
      </c>
      <c r="Q1" s="10" t="s">
        <v>76</v>
      </c>
      <c r="R1" s="10" t="s">
        <v>19</v>
      </c>
      <c r="S1" s="10" t="s">
        <v>20</v>
      </c>
      <c r="T1" s="10" t="s">
        <v>21</v>
      </c>
      <c r="U1" s="10" t="s">
        <v>22</v>
      </c>
    </row>
    <row r="2" spans="1:21" x14ac:dyDescent="0.25">
      <c r="A2" s="11" t="s">
        <v>46</v>
      </c>
      <c r="B2" s="20">
        <v>459000</v>
      </c>
      <c r="C2" s="11" t="s">
        <v>26</v>
      </c>
      <c r="D2" s="15"/>
      <c r="E2" s="15"/>
      <c r="F2" s="15"/>
      <c r="G2" s="15"/>
      <c r="H2" s="15"/>
      <c r="I2" s="15"/>
      <c r="J2" s="15"/>
      <c r="K2" s="15"/>
      <c r="L2" s="15">
        <v>44907</v>
      </c>
      <c r="M2" s="15">
        <v>44967</v>
      </c>
      <c r="N2" s="15"/>
      <c r="O2" s="15"/>
      <c r="P2" s="15"/>
      <c r="Q2" s="15"/>
      <c r="R2" s="15">
        <v>45117</v>
      </c>
      <c r="S2" s="15">
        <v>45749</v>
      </c>
      <c r="T2" s="15">
        <v>45750</v>
      </c>
      <c r="U2" s="15">
        <v>46036</v>
      </c>
    </row>
    <row r="3" spans="1:21" x14ac:dyDescent="0.25">
      <c r="A3" s="12" t="s">
        <v>40</v>
      </c>
      <c r="B3" s="20">
        <v>1980000</v>
      </c>
      <c r="C3" s="11" t="s">
        <v>25</v>
      </c>
      <c r="D3" s="11"/>
      <c r="E3" s="11"/>
      <c r="F3" s="11"/>
      <c r="G3" s="11"/>
      <c r="H3" s="11"/>
      <c r="I3" s="11"/>
      <c r="J3" s="11"/>
      <c r="K3" s="11"/>
      <c r="L3" s="15">
        <v>44652</v>
      </c>
      <c r="M3" s="15">
        <v>44666</v>
      </c>
      <c r="N3" s="15"/>
      <c r="O3" s="15"/>
      <c r="P3" s="15"/>
      <c r="Q3" s="15"/>
      <c r="R3" s="15">
        <v>44706</v>
      </c>
      <c r="S3" s="15">
        <v>45071</v>
      </c>
      <c r="T3" s="15">
        <v>45200</v>
      </c>
      <c r="U3" s="15">
        <v>46295</v>
      </c>
    </row>
    <row r="4" spans="1:21" x14ac:dyDescent="0.25">
      <c r="A4" s="12" t="s">
        <v>47</v>
      </c>
      <c r="B4" s="20">
        <v>60990</v>
      </c>
      <c r="C4" s="11" t="s">
        <v>26</v>
      </c>
      <c r="D4" s="11"/>
      <c r="E4" s="11"/>
      <c r="F4" s="11"/>
      <c r="G4" s="11"/>
      <c r="H4" s="11"/>
      <c r="I4" s="11"/>
      <c r="J4" s="11"/>
      <c r="K4" s="11"/>
      <c r="L4" s="15">
        <v>45090</v>
      </c>
      <c r="M4" s="15">
        <v>45266</v>
      </c>
      <c r="N4" s="15"/>
      <c r="O4" s="15"/>
      <c r="P4" s="15"/>
      <c r="Q4" s="15"/>
      <c r="R4" s="15">
        <v>45267</v>
      </c>
      <c r="S4" s="15">
        <v>45364</v>
      </c>
      <c r="T4" s="15">
        <v>45413</v>
      </c>
      <c r="U4" s="15">
        <v>46142</v>
      </c>
    </row>
    <row r="5" spans="1:21" x14ac:dyDescent="0.25">
      <c r="A5" s="12" t="s">
        <v>47</v>
      </c>
      <c r="B5" s="20">
        <v>90212</v>
      </c>
      <c r="C5" s="11" t="s">
        <v>26</v>
      </c>
      <c r="D5" s="11"/>
      <c r="E5" s="11"/>
      <c r="F5" s="11"/>
      <c r="G5" s="11"/>
      <c r="H5" s="11"/>
      <c r="I5" s="11"/>
      <c r="J5" s="11"/>
      <c r="K5" s="11"/>
      <c r="L5" s="15">
        <v>45443</v>
      </c>
      <c r="M5" s="15">
        <v>45638</v>
      </c>
      <c r="N5" s="15"/>
      <c r="O5" s="15"/>
      <c r="P5" s="15"/>
      <c r="Q5" s="15"/>
      <c r="R5" s="15">
        <v>45639</v>
      </c>
      <c r="S5" s="15">
        <v>45729</v>
      </c>
      <c r="T5" s="15">
        <v>45778</v>
      </c>
      <c r="U5" s="15">
        <v>46507</v>
      </c>
    </row>
    <row r="6" spans="1:21" x14ac:dyDescent="0.25">
      <c r="A6" s="11" t="s">
        <v>43</v>
      </c>
      <c r="B6" s="20">
        <v>288692</v>
      </c>
      <c r="C6" s="11" t="s">
        <v>25</v>
      </c>
      <c r="D6" s="15"/>
      <c r="E6" s="15"/>
      <c r="F6" s="15"/>
      <c r="G6" s="15"/>
      <c r="H6" s="15"/>
      <c r="I6" s="15"/>
      <c r="J6" s="15"/>
      <c r="K6" s="15"/>
      <c r="L6" s="15">
        <v>44986</v>
      </c>
      <c r="M6" s="15">
        <v>45100</v>
      </c>
      <c r="N6" s="15"/>
      <c r="O6" s="15"/>
      <c r="P6" s="15"/>
      <c r="Q6" s="15"/>
      <c r="R6" s="15">
        <v>45244</v>
      </c>
      <c r="S6" s="15">
        <v>45352</v>
      </c>
      <c r="T6" s="15">
        <v>45352</v>
      </c>
      <c r="U6" s="15">
        <v>46752</v>
      </c>
    </row>
    <row r="7" spans="1:21" x14ac:dyDescent="0.25">
      <c r="A7" s="11" t="s">
        <v>44</v>
      </c>
      <c r="B7" s="20">
        <v>312939</v>
      </c>
      <c r="C7" s="11" t="s">
        <v>25</v>
      </c>
      <c r="D7" s="15"/>
      <c r="E7" s="15"/>
      <c r="F7" s="15"/>
      <c r="G7" s="15"/>
      <c r="H7" s="15"/>
      <c r="I7" s="15"/>
      <c r="J7" s="15"/>
      <c r="K7" s="15"/>
      <c r="L7" s="15">
        <v>44868</v>
      </c>
      <c r="M7" s="15">
        <v>44939</v>
      </c>
      <c r="N7" s="15"/>
      <c r="O7" s="15"/>
      <c r="P7" s="15"/>
      <c r="Q7" s="15"/>
      <c r="R7" s="15">
        <v>44940</v>
      </c>
      <c r="S7" s="15">
        <v>44979</v>
      </c>
      <c r="T7" s="15">
        <v>45170</v>
      </c>
      <c r="U7" s="15">
        <v>46037</v>
      </c>
    </row>
    <row r="8" spans="1:21" x14ac:dyDescent="0.25">
      <c r="A8" s="11" t="s">
        <v>44</v>
      </c>
      <c r="B8" s="20">
        <v>398456</v>
      </c>
      <c r="C8" s="11" t="s">
        <v>26</v>
      </c>
      <c r="D8" s="11"/>
      <c r="E8" s="11"/>
      <c r="F8" s="11"/>
      <c r="G8" s="11"/>
      <c r="H8" s="11"/>
      <c r="I8" s="11"/>
      <c r="J8" s="11"/>
      <c r="K8" s="11"/>
      <c r="L8" s="15">
        <v>45187</v>
      </c>
      <c r="M8" s="15">
        <v>45300</v>
      </c>
      <c r="N8" s="15"/>
      <c r="O8" s="15"/>
      <c r="P8" s="15"/>
      <c r="Q8" s="15"/>
      <c r="R8" s="15">
        <v>45301</v>
      </c>
      <c r="S8" s="15">
        <v>45384</v>
      </c>
      <c r="T8" s="15">
        <v>45536</v>
      </c>
      <c r="U8" s="15">
        <v>46265</v>
      </c>
    </row>
    <row r="9" spans="1:21" x14ac:dyDescent="0.25">
      <c r="A9" s="11" t="s">
        <v>44</v>
      </c>
      <c r="B9" s="21">
        <v>119659</v>
      </c>
      <c r="C9" t="s">
        <v>23</v>
      </c>
      <c r="L9" s="16">
        <v>45560</v>
      </c>
      <c r="M9" s="16">
        <v>45664</v>
      </c>
      <c r="N9" s="16"/>
      <c r="O9" s="16"/>
      <c r="P9" s="16"/>
      <c r="Q9" s="16"/>
      <c r="R9" s="16">
        <v>45665</v>
      </c>
      <c r="S9" s="16">
        <v>45995</v>
      </c>
      <c r="T9" s="16">
        <v>46006</v>
      </c>
      <c r="U9" s="16">
        <v>46735</v>
      </c>
    </row>
    <row r="10" spans="1:21" x14ac:dyDescent="0.25">
      <c r="A10" s="11" t="s">
        <v>42</v>
      </c>
      <c r="B10" s="20">
        <v>41424</v>
      </c>
      <c r="C10" s="11" t="s">
        <v>23</v>
      </c>
      <c r="D10" s="11"/>
      <c r="E10" s="11"/>
      <c r="F10" s="11"/>
      <c r="G10" s="11"/>
      <c r="H10" s="11"/>
      <c r="I10" s="11"/>
      <c r="J10" s="11"/>
      <c r="K10" s="11"/>
      <c r="L10" s="15">
        <v>45580</v>
      </c>
      <c r="M10" s="15">
        <v>45672</v>
      </c>
      <c r="N10" s="15"/>
      <c r="O10" s="15"/>
      <c r="P10" s="15"/>
      <c r="Q10" s="15"/>
      <c r="R10" s="15">
        <v>45673</v>
      </c>
      <c r="S10" s="15">
        <v>45796</v>
      </c>
      <c r="T10" s="15">
        <v>45870</v>
      </c>
      <c r="U10" s="15">
        <v>46234</v>
      </c>
    </row>
    <row r="11" spans="1:21" x14ac:dyDescent="0.25">
      <c r="A11" s="11" t="s">
        <v>45</v>
      </c>
      <c r="B11" s="20">
        <v>17296</v>
      </c>
      <c r="C11" s="11" t="s">
        <v>23</v>
      </c>
      <c r="D11" s="11"/>
      <c r="E11" s="11"/>
      <c r="F11" s="11"/>
      <c r="G11" s="11"/>
      <c r="H11" s="11"/>
      <c r="I11" s="11"/>
      <c r="J11" s="11"/>
      <c r="K11" s="11"/>
      <c r="L11" s="15">
        <v>45717</v>
      </c>
      <c r="M11" s="15">
        <v>45748</v>
      </c>
      <c r="N11" s="15"/>
      <c r="O11" s="15"/>
      <c r="P11" s="15"/>
      <c r="Q11" s="15"/>
      <c r="R11" s="15">
        <v>45748</v>
      </c>
      <c r="S11" s="15">
        <v>45962</v>
      </c>
      <c r="T11" s="15">
        <v>45748</v>
      </c>
      <c r="U11" s="15">
        <v>46022</v>
      </c>
    </row>
  </sheetData>
  <autoFilter ref="A1:U5" xr:uid="{F72CD8AE-5E8B-4B10-9FA0-957FC49C37EB}"/>
  <sortState xmlns:xlrd2="http://schemas.microsoft.com/office/spreadsheetml/2017/richdata2" ref="A2:U11">
    <sortCondition ref="A2:A11"/>
    <sortCondition ref="C2:C11"/>
  </sortState>
  <dataValidations count="2">
    <dataValidation type="date" allowBlank="1" showInputMessage="1" showErrorMessage="1" sqref="D1:G1048576 H2:K1048576 L1:M1048576 R1:U1048576 N2:Q1048576" xr:uid="{2C604349-75DA-4A9B-981D-CFFEA7044BAA}">
      <formula1>43831</formula1>
      <formula2>54789</formula2>
    </dataValidation>
    <dataValidation type="whole" allowBlank="1" showInputMessage="1" showErrorMessage="1" sqref="B1:B1048576" xr:uid="{94AA493A-9AB3-45D4-BD5A-D4B594FE20F5}">
      <formula1>0</formula1>
      <formula2>999999999</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5410F1CF-FFB5-4E4B-8877-8EDB75A0805F}">
          <x14:formula1>
            <xm:f>Dropdowns!$C$2:$C$7</xm:f>
          </x14:formula1>
          <xm:sqref>C1:C1048576</xm:sqref>
        </x14:dataValidation>
        <x14:dataValidation type="list" allowBlank="1" showInputMessage="1" showErrorMessage="1" xr:uid="{B7F2BDA5-2793-41B2-ADAF-C046B2C5CB40}">
          <x14:formula1>
            <xm:f>Program!$A$2:$A$1048576</xm:f>
          </x14:formula1>
          <xm:sqref>A11:A1048576 A9 A7 A1:A5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9EB0-8D18-4326-9C0D-FD5F26829B22}">
  <dimension ref="A1:E7"/>
  <sheetViews>
    <sheetView workbookViewId="0">
      <selection activeCell="E1" sqref="E1:E4"/>
    </sheetView>
  </sheetViews>
  <sheetFormatPr defaultRowHeight="15" x14ac:dyDescent="0.25"/>
  <cols>
    <col min="1" max="1" width="28.42578125" customWidth="1"/>
  </cols>
  <sheetData>
    <row r="1" spans="1:5" ht="30" x14ac:dyDescent="0.25">
      <c r="A1" s="1" t="s">
        <v>5</v>
      </c>
      <c r="C1" s="1" t="s">
        <v>12</v>
      </c>
      <c r="E1" s="17" t="s">
        <v>48</v>
      </c>
    </row>
    <row r="2" spans="1:5" x14ac:dyDescent="0.25">
      <c r="A2" t="s">
        <v>9</v>
      </c>
      <c r="C2" t="s">
        <v>25</v>
      </c>
      <c r="E2" t="s">
        <v>49</v>
      </c>
    </row>
    <row r="3" spans="1:5" x14ac:dyDescent="0.25">
      <c r="A3" t="s">
        <v>10</v>
      </c>
      <c r="C3" t="s">
        <v>26</v>
      </c>
      <c r="E3" t="s">
        <v>50</v>
      </c>
    </row>
    <row r="4" spans="1:5" x14ac:dyDescent="0.25">
      <c r="A4" t="s">
        <v>11</v>
      </c>
      <c r="C4" t="s">
        <v>23</v>
      </c>
      <c r="E4" t="s">
        <v>51</v>
      </c>
    </row>
    <row r="5" spans="1:5" x14ac:dyDescent="0.25">
      <c r="C5" t="s">
        <v>24</v>
      </c>
    </row>
    <row r="6" spans="1:5" x14ac:dyDescent="0.25">
      <c r="C6" t="s">
        <v>27</v>
      </c>
    </row>
    <row r="7" spans="1:5" x14ac:dyDescent="0.25">
      <c r="C7" t="s">
        <v>28</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B7CF637BCEFDC4B8F5BC95FC9E616FB" ma:contentTypeVersion="3" ma:contentTypeDescription="Create a new document." ma:contentTypeScope="" ma:versionID="2ecfbd80afd7ed4e817202aa1ab2d363">
  <xsd:schema xmlns:xsd="http://www.w3.org/2001/XMLSchema" xmlns:xs="http://www.w3.org/2001/XMLSchema" xmlns:p="http://schemas.microsoft.com/office/2006/metadata/properties" xmlns:ns2="a5fabac5-0908-4d1b-9feb-6d210e8fc95c" targetNamespace="http://schemas.microsoft.com/office/2006/metadata/properties" ma:root="true" ma:fieldsID="de72509cb730d3ca7cb47d1662231690" ns2:_="">
    <xsd:import namespace="a5fabac5-0908-4d1b-9feb-6d210e8fc95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fabac5-0908-4d1b-9feb-6d210e8fc95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9DF19AB-E7C1-4518-81AF-AAE20EF9628B}">
  <ds:schemaRefs>
    <ds:schemaRef ds:uri="http://schemas.microsoft.com/sharepoint/v3/contenttype/forms"/>
  </ds:schemaRefs>
</ds:datastoreItem>
</file>

<file path=customXml/itemProps2.xml><?xml version="1.0" encoding="utf-8"?>
<ds:datastoreItem xmlns:ds="http://schemas.openxmlformats.org/officeDocument/2006/customXml" ds:itemID="{938DAD37-334B-409D-BCBF-DCF218F2406B}"/>
</file>

<file path=customXml/itemProps3.xml><?xml version="1.0" encoding="utf-8"?>
<ds:datastoreItem xmlns:ds="http://schemas.openxmlformats.org/officeDocument/2006/customXml" ds:itemID="{9FC28B89-E70E-489E-91C7-FB9FB59929B3}">
  <ds:schemaRefs>
    <ds:schemaRef ds:uri="http://schemas.openxmlformats.org/package/2006/metadata/core-properties"/>
    <ds:schemaRef ds:uri="http://schemas.microsoft.com/sharepoint/v3"/>
    <ds:schemaRef ds:uri="http://www.w3.org/XML/1998/namespace"/>
    <ds:schemaRef ds:uri="http://purl.org/dc/elements/1.1/"/>
    <ds:schemaRef ds:uri="http://schemas.microsoft.com/office/2006/documentManagement/types"/>
    <ds:schemaRef ds:uri="d2814a59-c80c-4595-9cc4-bd0260228439"/>
    <ds:schemaRef ds:uri="http://schemas.microsoft.com/office/infopath/2007/PartnerControls"/>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Program</vt:lpstr>
      <vt:lpstr>Dates</vt:lpstr>
      <vt:lpstr>Dropdowns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Forsgaard, Hilary</dc:creator>
  <cp:keywords/>
  <dc:description/>
  <cp:lastModifiedBy>Forsgaard, Hilary</cp:lastModifiedBy>
  <cp:revision/>
  <dcterms:created xsi:type="dcterms:W3CDTF">2025-10-01T19:18:28Z</dcterms:created>
  <dcterms:modified xsi:type="dcterms:W3CDTF">2026-06-24T20:23:27Z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0x0101007B7CF637BCEFDC4B8F5BC95FC9E616FB</vt:lpwstr>
  </property>
</Properties>
</file>